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240" yWindow="120" windowWidth="19035" windowHeight="7965" activeTab="3"/>
  </bookViews>
  <sheets>
    <sheet name="Лист1" sheetId="1" r:id="rId1"/>
    <sheet name="Лист2" sheetId="2" r:id="rId2"/>
    <sheet name="Лист3" sheetId="5" r:id="rId3"/>
    <sheet name="Лист4" sheetId="6" r:id="rId4"/>
  </sheets>
  <calcPr calcId="125725"/>
</workbook>
</file>

<file path=xl/calcChain.xml><?xml version="1.0" encoding="utf-8"?>
<calcChain xmlns="http://schemas.openxmlformats.org/spreadsheetml/2006/main">
  <c r="H15" i="6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F12"/>
  <c r="F17" s="1"/>
  <c r="C15"/>
  <c r="AJ12"/>
  <c r="C4"/>
  <c r="AF18" s="1"/>
  <c r="C3"/>
  <c r="C16" s="1"/>
  <c r="F12" i="2"/>
  <c r="G15" s="1"/>
  <c r="H16" i="5"/>
  <c r="I16"/>
  <c r="J16" s="1"/>
  <c r="K16" s="1"/>
  <c r="L16" s="1"/>
  <c r="M16" s="1"/>
  <c r="N16" s="1"/>
  <c r="O16" s="1"/>
  <c r="P16" s="1"/>
  <c r="Q16" s="1"/>
  <c r="R16" s="1"/>
  <c r="S16" s="1"/>
  <c r="T16" s="1"/>
  <c r="U16" s="1"/>
  <c r="V16" s="1"/>
  <c r="W16" s="1"/>
  <c r="X16" s="1"/>
  <c r="Y16" s="1"/>
  <c r="Z16" s="1"/>
  <c r="AA16" s="1"/>
  <c r="AB16" s="1"/>
  <c r="AC16" s="1"/>
  <c r="AD16" s="1"/>
  <c r="AE16" s="1"/>
  <c r="AF16" s="1"/>
  <c r="AG16" s="1"/>
  <c r="AH16" s="1"/>
  <c r="AI16" s="1"/>
  <c r="G18"/>
  <c r="G17" s="1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F18"/>
  <c r="F12"/>
  <c r="F17" s="1"/>
  <c r="AJ12"/>
  <c r="G16"/>
  <c r="C17"/>
  <c r="C16"/>
  <c r="C15"/>
  <c r="C3"/>
  <c r="C4" s="1"/>
  <c r="I15" i="2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N11"/>
  <c r="G11"/>
  <c r="H11" s="1"/>
  <c r="I11" s="1"/>
  <c r="J11" s="1"/>
  <c r="K11" s="1"/>
  <c r="L11" s="1"/>
  <c r="M11" s="1"/>
  <c r="C4"/>
  <c r="AE14" s="1"/>
  <c r="C3"/>
  <c r="H14" i="1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G14"/>
  <c r="C4"/>
  <c r="AJ12"/>
  <c r="F12"/>
  <c r="I11"/>
  <c r="J1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H11"/>
  <c r="G11"/>
  <c r="C3"/>
  <c r="F18" i="6" l="1"/>
  <c r="G15"/>
  <c r="H18"/>
  <c r="L18"/>
  <c r="P18"/>
  <c r="T18"/>
  <c r="X18"/>
  <c r="AB18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C17"/>
  <c r="G18"/>
  <c r="K18"/>
  <c r="O18"/>
  <c r="S18"/>
  <c r="W18"/>
  <c r="AA18"/>
  <c r="AE18"/>
  <c r="AI18"/>
  <c r="AH18"/>
  <c r="J18"/>
  <c r="N18"/>
  <c r="R18"/>
  <c r="V18"/>
  <c r="Z18"/>
  <c r="AD18"/>
  <c r="I18"/>
  <c r="M18"/>
  <c r="Q18"/>
  <c r="U18"/>
  <c r="Y18"/>
  <c r="AC18"/>
  <c r="AG18"/>
  <c r="H17" i="5"/>
  <c r="I17" s="1"/>
  <c r="J17" s="1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AI14" s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G14" s="1"/>
  <c r="G1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O11" i="2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J11" s="1"/>
  <c r="J14"/>
  <c r="N14"/>
  <c r="R14"/>
  <c r="V14"/>
  <c r="Z14"/>
  <c r="AD14"/>
  <c r="AH14"/>
  <c r="I14"/>
  <c r="M14"/>
  <c r="Q14"/>
  <c r="U14"/>
  <c r="Y14"/>
  <c r="AC14"/>
  <c r="AG14"/>
  <c r="L14"/>
  <c r="P14"/>
  <c r="T14"/>
  <c r="X14"/>
  <c r="AB14"/>
  <c r="AF14"/>
  <c r="K14"/>
  <c r="O14"/>
  <c r="W14"/>
  <c r="AA14"/>
  <c r="AI14"/>
  <c r="S14"/>
  <c r="H15"/>
  <c r="H14"/>
  <c r="G14"/>
  <c r="G17" i="6" l="1"/>
  <c r="H17" s="1"/>
  <c r="I17" s="1"/>
  <c r="J17" s="1"/>
  <c r="K17" s="1"/>
  <c r="L17" s="1"/>
  <c r="M17" s="1"/>
  <c r="N17" s="1"/>
  <c r="O17" s="1"/>
  <c r="P17" s="1"/>
  <c r="Q17" s="1"/>
  <c r="R17" s="1"/>
  <c r="S17" s="1"/>
  <c r="T17" s="1"/>
  <c r="U17" s="1"/>
  <c r="V17" s="1"/>
  <c r="W17" s="1"/>
  <c r="X17" s="1"/>
  <c r="Y17" s="1"/>
  <c r="Z17" s="1"/>
  <c r="AA17" s="1"/>
  <c r="AB17" s="1"/>
  <c r="AC17" s="1"/>
  <c r="AD17" s="1"/>
  <c r="AE17" s="1"/>
  <c r="AF17" s="1"/>
  <c r="AG17" s="1"/>
  <c r="AH17" s="1"/>
  <c r="AI17" s="1"/>
  <c r="G16"/>
  <c r="H16" l="1"/>
  <c r="I16" l="1"/>
  <c r="J16" l="1"/>
  <c r="K16" l="1"/>
  <c r="L16" l="1"/>
  <c r="M16" l="1"/>
  <c r="N16" l="1"/>
  <c r="O16" l="1"/>
  <c r="P16" l="1"/>
  <c r="Q16" l="1"/>
  <c r="R16" l="1"/>
  <c r="S16" l="1"/>
  <c r="T16" l="1"/>
  <c r="U16" l="1"/>
  <c r="V16" l="1"/>
  <c r="W16" l="1"/>
  <c r="X16" l="1"/>
  <c r="Y16" l="1"/>
  <c r="Z16" l="1"/>
  <c r="AA16" l="1"/>
  <c r="AB16" l="1"/>
  <c r="AC16" l="1"/>
  <c r="AD16" l="1"/>
  <c r="AE16" l="1"/>
  <c r="AF16" l="1"/>
  <c r="AG16" l="1"/>
  <c r="AH16" l="1"/>
  <c r="AI16" l="1"/>
  <c r="AI14" l="1"/>
  <c r="AH14" s="1"/>
  <c r="AG14" s="1"/>
  <c r="AF14" s="1"/>
  <c r="AE14" s="1"/>
  <c r="AD14" s="1"/>
  <c r="AC14" s="1"/>
  <c r="AB14" s="1"/>
  <c r="AA14" s="1"/>
  <c r="Z14" s="1"/>
  <c r="Y14" s="1"/>
  <c r="X14" s="1"/>
  <c r="W14" s="1"/>
  <c r="V14" s="1"/>
  <c r="U14" s="1"/>
  <c r="T14" s="1"/>
  <c r="S14" s="1"/>
  <c r="R14" s="1"/>
  <c r="Q14" s="1"/>
  <c r="P14" s="1"/>
  <c r="O14" s="1"/>
  <c r="N14" s="1"/>
  <c r="M14" s="1"/>
  <c r="L14" s="1"/>
  <c r="K14" s="1"/>
  <c r="J14" s="1"/>
  <c r="I14" s="1"/>
  <c r="H14" s="1"/>
  <c r="G14" s="1"/>
</calcChain>
</file>

<file path=xl/sharedStrings.xml><?xml version="1.0" encoding="utf-8"?>
<sst xmlns="http://schemas.openxmlformats.org/spreadsheetml/2006/main" count="60" uniqueCount="18">
  <si>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</si>
  <si>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</si>
  <si>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</si>
  <si>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</si>
  <si>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</si>
  <si>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</si>
  <si>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</si>
  <si>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</si>
  <si>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</si>
  <si>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</si>
  <si>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</si>
  <si>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q</t>
  </si>
  <si>
    <t>alfa</t>
  </si>
  <si>
    <t>B</t>
  </si>
  <si>
    <t>F</t>
  </si>
  <si>
    <t>C</t>
  </si>
  <si>
    <t>A</t>
  </si>
  <si>
    <t>betta</t>
  </si>
</sst>
</file>

<file path=xl/styles.xml><?xml version="1.0" encoding="utf-8"?>
<styleSheet xmlns="http://schemas.openxmlformats.org/spreadsheetml/2006/main">
  <numFmts count="1">
    <numFmt numFmtId="164" formatCode="0.000"/>
  </numFmts>
  <fonts count="2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0" fontId="0" fillId="0" borderId="0" xfId="1" applyNumberFormat="1" applyFont="1"/>
  </cellXfs>
  <cellStyles count="2">
    <cellStyle name="Обычный" xfId="0" builtinId="0"/>
    <cellStyle name="Процентный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Лист1!$F$11:$AJ$11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axId val="115378432"/>
        <c:axId val="115407488"/>
      </c:scatterChart>
      <c:valAx>
        <c:axId val="115378432"/>
        <c:scaling>
          <c:orientation val="minMax"/>
        </c:scaling>
        <c:axPos val="b"/>
        <c:numFmt formatCode="0.000" sourceLinked="1"/>
        <c:tickLblPos val="nextTo"/>
        <c:crossAx val="115407488"/>
        <c:crosses val="autoZero"/>
        <c:crossBetween val="midCat"/>
      </c:valAx>
      <c:valAx>
        <c:axId val="115407488"/>
        <c:scaling>
          <c:orientation val="minMax"/>
        </c:scaling>
        <c:axPos val="l"/>
        <c:majorGridlines/>
        <c:numFmt formatCode="General" sourceLinked="1"/>
        <c:tickLblPos val="nextTo"/>
        <c:crossAx val="11537843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Лист2!$F$11:$AJ$11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Лист2!$F$12:$AJ$12</c:f>
              <c:numCache>
                <c:formatCode>General</c:formatCode>
                <c:ptCount val="31"/>
                <c:pt idx="0">
                  <c:v>6.666666666666667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</c:ser>
        <c:axId val="166410496"/>
        <c:axId val="166428672"/>
      </c:scatterChart>
      <c:valAx>
        <c:axId val="166410496"/>
        <c:scaling>
          <c:orientation val="minMax"/>
        </c:scaling>
        <c:axPos val="b"/>
        <c:numFmt formatCode="0.000" sourceLinked="1"/>
        <c:tickLblPos val="nextTo"/>
        <c:crossAx val="166428672"/>
        <c:crosses val="autoZero"/>
        <c:crossBetween val="midCat"/>
      </c:valAx>
      <c:valAx>
        <c:axId val="166428672"/>
        <c:scaling>
          <c:orientation val="minMax"/>
        </c:scaling>
        <c:axPos val="l"/>
        <c:majorGridlines/>
        <c:numFmt formatCode="General" sourceLinked="1"/>
        <c:tickLblPos val="nextTo"/>
        <c:crossAx val="1664104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Неявная схема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Лист3!$F$11:$AJ$11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Лист3!$G$12:$AI$12</c:f>
              <c:numCache>
                <c:formatCode>General</c:formatCode>
                <c:ptCount val="29"/>
                <c:pt idx="0">
                  <c:v>280.20114262798575</c:v>
                </c:pt>
                <c:pt idx="1">
                  <c:v>260.57053452366898</c:v>
                </c:pt>
                <c:pt idx="2">
                  <c:v>241.27335396752636</c:v>
                </c:pt>
                <c:pt idx="3">
                  <c:v>222.46874067679317</c:v>
                </c:pt>
                <c:pt idx="4">
                  <c:v>204.30702925674697</c:v>
                </c:pt>
                <c:pt idx="5">
                  <c:v>186.92727013670742</c:v>
                </c:pt>
                <c:pt idx="6">
                  <c:v>170.45510875086381</c:v>
                </c:pt>
                <c:pt idx="7">
                  <c:v>155.00107463428773</c:v>
                </c:pt>
                <c:pt idx="8">
                  <c:v>140.65931099015722</c:v>
                </c:pt>
                <c:pt idx="9">
                  <c:v>127.5067536180474</c:v>
                </c:pt>
                <c:pt idx="10">
                  <c:v>115.60274732960713</c:v>
                </c:pt>
                <c:pt idx="11">
                  <c:v>104.98906943559072</c:v>
                </c:pt>
                <c:pt idx="12">
                  <c:v>95.690314648076594</c:v>
                </c:pt>
                <c:pt idx="13">
                  <c:v>87.714584570723446</c:v>
                </c:pt>
                <c:pt idx="14">
                  <c:v>81.054418255410752</c:v>
                </c:pt>
                <c:pt idx="15">
                  <c:v>75.68789812172092</c:v>
                </c:pt>
                <c:pt idx="16">
                  <c:v>71.579867553261167</c:v>
                </c:pt>
                <c:pt idx="17">
                  <c:v>68.68320209085141</c:v>
                </c:pt>
                <c:pt idx="18">
                  <c:v>66.940084503407604</c:v>
                </c:pt>
                <c:pt idx="19">
                  <c:v>66.283244166503039</c:v>
                </c:pt>
                <c:pt idx="20">
                  <c:v>66.637132112902975</c:v>
                </c:pt>
                <c:pt idx="21">
                  <c:v>67.919013891339318</c:v>
                </c:pt>
                <c:pt idx="22">
                  <c:v>70.039972168091296</c:v>
                </c:pt>
                <c:pt idx="23">
                  <c:v>72.905819217013814</c:v>
                </c:pt>
                <c:pt idx="24">
                  <c:v>76.417925689672472</c:v>
                </c:pt>
                <c:pt idx="25">
                  <c:v>80.473976208137344</c:v>
                </c:pt>
                <c:pt idx="26">
                  <c:v>84.968664482862408</c:v>
                </c:pt>
                <c:pt idx="27">
                  <c:v>89.794341128753075</c:v>
                </c:pt>
                <c:pt idx="28">
                  <c:v>94.841626578966242</c:v>
                </c:pt>
              </c:numCache>
            </c:numRef>
          </c:yVal>
          <c:smooth val="1"/>
        </c:ser>
        <c:axId val="166502784"/>
        <c:axId val="166504704"/>
      </c:scatterChart>
      <c:valAx>
        <c:axId val="1665027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400">
                    <a:latin typeface="Times New Roman" pitchFamily="18" charset="0"/>
                    <a:cs typeface="Times New Roman" pitchFamily="18" charset="0"/>
                  </a:rPr>
                  <a:t>Длина -</a:t>
                </a:r>
                <a:r>
                  <a:rPr lang="en-US" sz="1400">
                    <a:latin typeface="Times New Roman" pitchFamily="18" charset="0"/>
                    <a:cs typeface="Times New Roman" pitchFamily="18" charset="0"/>
                  </a:rPr>
                  <a:t> L(</a:t>
                </a:r>
                <a:r>
                  <a:rPr lang="ru-RU" sz="1400">
                    <a:latin typeface="Times New Roman" pitchFamily="18" charset="0"/>
                    <a:cs typeface="Times New Roman" pitchFamily="18" charset="0"/>
                  </a:rPr>
                  <a:t>м) </a:t>
                </a:r>
              </a:p>
            </c:rich>
          </c:tx>
          <c:layout/>
        </c:title>
        <c:numFmt formatCode="0.000" sourceLinked="1"/>
        <c:majorTickMark val="none"/>
        <c:tickLblPos val="nextTo"/>
        <c:crossAx val="166504704"/>
        <c:crosses val="autoZero"/>
        <c:crossBetween val="midCat"/>
      </c:valAx>
      <c:valAx>
        <c:axId val="166504704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T</a:t>
                </a:r>
                <a:r>
                  <a:rPr lang="ru-RU" sz="1400"/>
                  <a:t>емпература</a:t>
                </a:r>
                <a:r>
                  <a:rPr lang="en-US" sz="1400"/>
                  <a:t> -</a:t>
                </a:r>
                <a:r>
                  <a:rPr lang="ru-RU" sz="1400"/>
                  <a:t> </a:t>
                </a:r>
                <a:r>
                  <a:rPr lang="en-US" sz="1400"/>
                  <a:t>T</a:t>
                </a:r>
                <a:r>
                  <a:rPr lang="ru-RU" sz="1400"/>
                  <a:t>(</a:t>
                </a:r>
                <a:r>
                  <a:rPr lang="en-US" sz="1400"/>
                  <a:t>K)</a:t>
                </a:r>
                <a:endParaRPr lang="ru-RU" sz="1400"/>
              </a:p>
            </c:rich>
          </c:tx>
          <c:layout/>
        </c:title>
        <c:numFmt formatCode="General" sourceLinked="1"/>
        <c:majorTickMark val="none"/>
        <c:tickLblPos val="nextTo"/>
        <c:crossAx val="1665027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Явная схема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8297050247359856"/>
          <c:y val="0.19943314377369495"/>
          <c:w val="0.60915155023097844"/>
          <c:h val="0.54581364829396328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Лист3!$F$11:$AJ$11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261.01895071136693</c:v>
                </c:pt>
                <c:pt idx="3">
                  <c:v>241.69187227593488</c:v>
                </c:pt>
                <c:pt idx="4">
                  <c:v>223.32288929753321</c:v>
                </c:pt>
                <c:pt idx="5">
                  <c:v>204.95390631913145</c:v>
                </c:pt>
                <c:pt idx="6">
                  <c:v>188.10922208123708</c:v>
                </c:pt>
                <c:pt idx="7">
                  <c:v>171.26453784334268</c:v>
                </c:pt>
                <c:pt idx="8">
                  <c:v>156.41062560854434</c:v>
                </c:pt>
                <c:pt idx="9">
                  <c:v>141.55671337374596</c:v>
                </c:pt>
                <c:pt idx="10">
                  <c:v>129.0367150615379</c:v>
                </c:pt>
                <c:pt idx="11">
                  <c:v>116.51671674932982</c:v>
                </c:pt>
                <c:pt idx="12">
                  <c:v>106.53935305104244</c:v>
                </c:pt>
                <c:pt idx="13">
                  <c:v>96.561989352755049</c:v>
                </c:pt>
                <c:pt idx="14">
                  <c:v>89.202264063403447</c:v>
                </c:pt>
                <c:pt idx="15">
                  <c:v>81.842538774051832</c:v>
                </c:pt>
                <c:pt idx="16">
                  <c:v>77.051862944328036</c:v>
                </c:pt>
                <c:pt idx="17">
                  <c:v>72.26118711460424</c:v>
                </c:pt>
                <c:pt idx="18">
                  <c:v>69.883647818529624</c:v>
                </c:pt>
                <c:pt idx="19">
                  <c:v>67.506108522455037</c:v>
                </c:pt>
                <c:pt idx="20">
                  <c:v>67.297535274227698</c:v>
                </c:pt>
                <c:pt idx="21">
                  <c:v>67.088962026000345</c:v>
                </c:pt>
                <c:pt idx="22">
                  <c:v>68.736044613043219</c:v>
                </c:pt>
                <c:pt idx="23">
                  <c:v>70.383127200086093</c:v>
                </c:pt>
                <c:pt idx="24">
                  <c:v>73.520809538578931</c:v>
                </c:pt>
                <c:pt idx="25">
                  <c:v>76.658491877071754</c:v>
                </c:pt>
                <c:pt idx="26">
                  <c:v>80.884877873958871</c:v>
                </c:pt>
                <c:pt idx="27">
                  <c:v>85.111263870845988</c:v>
                </c:pt>
                <c:pt idx="28">
                  <c:v>90.000074948392268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axId val="166525568"/>
        <c:axId val="166605568"/>
      </c:scatterChart>
      <c:valAx>
        <c:axId val="1665255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 sz="1800" b="1" i="0" baseline="0"/>
                  <a:t>Длина -</a:t>
                </a:r>
                <a:r>
                  <a:rPr lang="en-US" sz="1800" b="1" i="0" baseline="0"/>
                  <a:t> L(</a:t>
                </a:r>
                <a:r>
                  <a:rPr lang="ru-RU" sz="1800" b="1" i="0" baseline="0"/>
                  <a:t>м) 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8129784747780315"/>
              <c:y val="0.88331000291630202"/>
            </c:manualLayout>
          </c:layout>
        </c:title>
        <c:numFmt formatCode="0.000" sourceLinked="1"/>
        <c:majorTickMark val="none"/>
        <c:tickLblPos val="nextTo"/>
        <c:crossAx val="166605568"/>
        <c:crosses val="autoZero"/>
        <c:crossBetween val="midCat"/>
      </c:valAx>
      <c:valAx>
        <c:axId val="166605568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/>
                  <a:t>T</a:t>
                </a:r>
                <a:r>
                  <a:rPr lang="ru-RU" sz="1800" b="1" i="0" baseline="0"/>
                  <a:t>емпература</a:t>
                </a:r>
                <a:r>
                  <a:rPr lang="en-US" sz="1800" b="1" i="0" baseline="0"/>
                  <a:t> -</a:t>
                </a:r>
                <a:r>
                  <a:rPr lang="ru-RU" sz="1800" b="1" i="0" baseline="0"/>
                  <a:t> </a:t>
                </a:r>
                <a:r>
                  <a:rPr lang="en-US" sz="1800" b="1" i="0" baseline="0"/>
                  <a:t>T</a:t>
                </a:r>
                <a:r>
                  <a:rPr lang="ru-RU" sz="1800" b="1" i="0" baseline="0"/>
                  <a:t>(</a:t>
                </a:r>
                <a:r>
                  <a:rPr lang="en-US" sz="1800" b="1" i="0" baseline="0"/>
                  <a:t>K)</a:t>
                </a:r>
                <a:endParaRPr lang="ru-RU" sz="1800" b="1" i="0" baseline="0"/>
              </a:p>
            </c:rich>
          </c:tx>
          <c:layout>
            <c:manualLayout>
              <c:xMode val="edge"/>
              <c:yMode val="edge"/>
              <c:x val="1.9417475728155345E-2"/>
              <c:y val="0.18554425488480611"/>
            </c:manualLayout>
          </c:layout>
        </c:title>
        <c:numFmt formatCode="General" sourceLinked="1"/>
        <c:majorTickMark val="none"/>
        <c:tickLblPos val="nextTo"/>
        <c:crossAx val="16652556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15</xdr:row>
      <xdr:rowOff>151007</xdr:rowOff>
    </xdr:from>
    <xdr:to>
      <xdr:col>23</xdr:col>
      <xdr:colOff>116159</xdr:colOff>
      <xdr:row>30</xdr:row>
      <xdr:rowOff>104543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476251</xdr:colOff>
      <xdr:row>17</xdr:row>
      <xdr:rowOff>35719</xdr:rowOff>
    </xdr:from>
    <xdr:to>
      <xdr:col>24</xdr:col>
      <xdr:colOff>190501</xdr:colOff>
      <xdr:row>31</xdr:row>
      <xdr:rowOff>107156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21</xdr:row>
      <xdr:rowOff>47625</xdr:rowOff>
    </xdr:from>
    <xdr:to>
      <xdr:col>12</xdr:col>
      <xdr:colOff>155575</xdr:colOff>
      <xdr:row>35</xdr:row>
      <xdr:rowOff>123825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596900</xdr:colOff>
      <xdr:row>21</xdr:row>
      <xdr:rowOff>101600</xdr:rowOff>
    </xdr:from>
    <xdr:to>
      <xdr:col>20</xdr:col>
      <xdr:colOff>298450</xdr:colOff>
      <xdr:row>35</xdr:row>
      <xdr:rowOff>177800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2:AJ14"/>
  <sheetViews>
    <sheetView zoomScale="82" zoomScaleNormal="82" workbookViewId="0">
      <selection activeCell="A2" sqref="A2:AJ15"/>
    </sheetView>
  </sheetViews>
  <sheetFormatPr defaultRowHeight="15"/>
  <cols>
    <col min="5" max="5" width="2" bestFit="1" customWidth="1"/>
    <col min="6" max="6" width="5.5703125" bestFit="1" customWidth="1"/>
    <col min="7" max="7" width="6.42578125" bestFit="1" customWidth="1"/>
    <col min="8" max="36" width="5.5703125" bestFit="1" customWidth="1"/>
  </cols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60</v>
      </c>
      <c r="D5">
        <v>60.233333333333341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B11" t="s">
        <v>8</v>
      </c>
      <c r="C11">
        <v>300</v>
      </c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C11</f>
        <v>300</v>
      </c>
      <c r="G12">
        <v>280.34602914679897</v>
      </c>
      <c r="H12">
        <v>261.01895071136693</v>
      </c>
      <c r="I12">
        <v>241.69187227593488</v>
      </c>
      <c r="J12">
        <v>223.32288929753321</v>
      </c>
      <c r="K12">
        <v>204.95390631913145</v>
      </c>
      <c r="L12">
        <v>188.10922208123708</v>
      </c>
      <c r="M12">
        <v>171.26453784334268</v>
      </c>
      <c r="N12">
        <v>156.41062560854434</v>
      </c>
      <c r="O12">
        <v>141.55671337374596</v>
      </c>
      <c r="P12">
        <v>129.0367150615379</v>
      </c>
      <c r="Q12">
        <v>116.51671674932982</v>
      </c>
      <c r="R12">
        <v>106.53935305104244</v>
      </c>
      <c r="S12">
        <v>96.561989352755049</v>
      </c>
      <c r="T12">
        <v>89.202264063403447</v>
      </c>
      <c r="U12">
        <v>81.842538774051832</v>
      </c>
      <c r="V12">
        <v>77.051862944328036</v>
      </c>
      <c r="W12">
        <v>72.26118711460424</v>
      </c>
      <c r="X12">
        <v>69.883647818529624</v>
      </c>
      <c r="Y12">
        <v>67.506108522455037</v>
      </c>
      <c r="Z12">
        <v>67.297535274227698</v>
      </c>
      <c r="AA12">
        <v>67.088962026000345</v>
      </c>
      <c r="AB12">
        <v>68.736044613043219</v>
      </c>
      <c r="AC12">
        <v>70.383127200086093</v>
      </c>
      <c r="AD12">
        <v>73.520809538578931</v>
      </c>
      <c r="AE12">
        <v>76.658491877071754</v>
      </c>
      <c r="AF12">
        <v>80.884877873958871</v>
      </c>
      <c r="AG12">
        <v>85.111263870845988</v>
      </c>
      <c r="AH12">
        <v>90.000074948392268</v>
      </c>
      <c r="AI12">
        <v>94.888886025938547</v>
      </c>
      <c r="AJ12">
        <f>C12</f>
        <v>100</v>
      </c>
    </row>
    <row r="14" spans="2:36">
      <c r="B14" t="s">
        <v>10</v>
      </c>
      <c r="G14">
        <f>G12+(($C$9*$C$4)/($C$8*$C$7))*((H12-2*G12+F12)/($C$3^2))</f>
        <v>280.50947535568343</v>
      </c>
      <c r="H14">
        <f t="shared" ref="H14:AJ14" si="1">H12+(($C$9*$C$4)/($C$8*$C$7))*((I12-2*H12+G12)/($C$3^2))</f>
        <v>261.01895071136693</v>
      </c>
      <c r="I14">
        <f t="shared" si="1"/>
        <v>242.17092000445007</v>
      </c>
      <c r="J14">
        <f t="shared" si="1"/>
        <v>223.32288929753315</v>
      </c>
      <c r="K14">
        <f t="shared" si="1"/>
        <v>205.71605568938514</v>
      </c>
      <c r="L14">
        <f t="shared" si="1"/>
        <v>188.10922208123708</v>
      </c>
      <c r="M14">
        <f t="shared" si="1"/>
        <v>172.25992384489069</v>
      </c>
      <c r="N14">
        <f t="shared" si="1"/>
        <v>156.41062560854431</v>
      </c>
      <c r="O14">
        <f t="shared" si="1"/>
        <v>142.72367033504111</v>
      </c>
      <c r="P14">
        <f t="shared" si="1"/>
        <v>129.0367150615379</v>
      </c>
      <c r="Q14">
        <f t="shared" si="1"/>
        <v>117.78803405629017</v>
      </c>
      <c r="R14">
        <f t="shared" si="1"/>
        <v>106.53935305104244</v>
      </c>
      <c r="S14">
        <f t="shared" si="1"/>
        <v>97.870808557222944</v>
      </c>
      <c r="T14">
        <f t="shared" si="1"/>
        <v>89.202264063403447</v>
      </c>
      <c r="U14">
        <f t="shared" si="1"/>
        <v>83.127063503865742</v>
      </c>
      <c r="V14">
        <f t="shared" si="1"/>
        <v>77.051862944328036</v>
      </c>
      <c r="W14">
        <f t="shared" si="1"/>
        <v>73.46775538142883</v>
      </c>
      <c r="X14">
        <f t="shared" si="1"/>
        <v>69.883647818529639</v>
      </c>
      <c r="Y14">
        <f t="shared" si="1"/>
        <v>68.590591546378661</v>
      </c>
      <c r="Z14">
        <f t="shared" si="1"/>
        <v>67.297535274227698</v>
      </c>
      <c r="AA14">
        <f t="shared" si="1"/>
        <v>68.016789943635459</v>
      </c>
      <c r="AB14">
        <f t="shared" si="1"/>
        <v>68.736044613043219</v>
      </c>
      <c r="AC14">
        <f t="shared" si="1"/>
        <v>71.128427075811075</v>
      </c>
      <c r="AD14">
        <f t="shared" si="1"/>
        <v>73.520809538578931</v>
      </c>
      <c r="AE14">
        <f t="shared" si="1"/>
        <v>77.202843706268908</v>
      </c>
      <c r="AF14">
        <f t="shared" si="1"/>
        <v>80.884877873958871</v>
      </c>
      <c r="AG14">
        <f t="shared" si="1"/>
        <v>85.442476411175562</v>
      </c>
      <c r="AH14">
        <f t="shared" si="1"/>
        <v>90.000074948392268</v>
      </c>
      <c r="AI14">
        <f t="shared" si="1"/>
        <v>95.000037474196134</v>
      </c>
      <c r="AJ14">
        <f t="shared" si="1"/>
        <v>47.44444301296928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2:AJ15"/>
  <sheetViews>
    <sheetView zoomScale="80" zoomScaleNormal="80" workbookViewId="0">
      <selection activeCell="F12" sqref="F12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5000</v>
      </c>
      <c r="D5">
        <v>5000.2333333333345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9</v>
      </c>
      <c r="C12">
        <v>100</v>
      </c>
      <c r="E12" t="s">
        <v>7</v>
      </c>
      <c r="F12">
        <f>(F15/C9)*C3+G12</f>
        <v>6.666666666666667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100</v>
      </c>
    </row>
    <row r="13" spans="2:36">
      <c r="L13" s="2"/>
    </row>
    <row r="14" spans="2:36">
      <c r="B14" t="s">
        <v>10</v>
      </c>
      <c r="G14">
        <f>G12+(($C$9*$C$4)/($C$8*$C$7))*((H12-2*G12+F12)/($C$3^2))</f>
        <v>3.3333333333333335</v>
      </c>
      <c r="H14">
        <f t="shared" ref="H14:AI14" si="1">H12+(($C$9*$C$4)/($C$8*$C$7))*((I12-2*H12+G12)/($C$3^2))</f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 t="shared" si="1"/>
        <v>0</v>
      </c>
      <c r="M14">
        <f t="shared" si="1"/>
        <v>0</v>
      </c>
      <c r="N14">
        <f t="shared" si="1"/>
        <v>0</v>
      </c>
      <c r="O14">
        <f t="shared" si="1"/>
        <v>0</v>
      </c>
      <c r="P14">
        <f t="shared" si="1"/>
        <v>0</v>
      </c>
      <c r="Q14">
        <f t="shared" si="1"/>
        <v>0</v>
      </c>
      <c r="R14">
        <f t="shared" si="1"/>
        <v>0</v>
      </c>
      <c r="S14">
        <f t="shared" si="1"/>
        <v>0</v>
      </c>
      <c r="T14">
        <f t="shared" si="1"/>
        <v>0</v>
      </c>
      <c r="U14">
        <f t="shared" si="1"/>
        <v>0</v>
      </c>
      <c r="V14">
        <f t="shared" si="1"/>
        <v>0</v>
      </c>
      <c r="W14">
        <f t="shared" si="1"/>
        <v>0</v>
      </c>
      <c r="X14">
        <f t="shared" si="1"/>
        <v>0</v>
      </c>
      <c r="Y14">
        <f t="shared" si="1"/>
        <v>0</v>
      </c>
      <c r="Z14">
        <f t="shared" si="1"/>
        <v>0</v>
      </c>
      <c r="AA14">
        <f t="shared" si="1"/>
        <v>0</v>
      </c>
      <c r="AB14">
        <f t="shared" si="1"/>
        <v>0</v>
      </c>
      <c r="AC14">
        <f t="shared" si="1"/>
        <v>0</v>
      </c>
      <c r="AD14">
        <f t="shared" si="1"/>
        <v>0</v>
      </c>
      <c r="AE14">
        <f t="shared" si="1"/>
        <v>0</v>
      </c>
      <c r="AF14">
        <f t="shared" si="1"/>
        <v>0</v>
      </c>
      <c r="AG14">
        <f t="shared" si="1"/>
        <v>0</v>
      </c>
      <c r="AH14">
        <f t="shared" si="1"/>
        <v>0</v>
      </c>
      <c r="AI14">
        <f t="shared" si="1"/>
        <v>50</v>
      </c>
    </row>
    <row r="15" spans="2:36">
      <c r="E15" t="s">
        <v>11</v>
      </c>
      <c r="F15">
        <v>92000</v>
      </c>
      <c r="G15">
        <f>(-$C$9*(G12-F12))/$C$3</f>
        <v>92000</v>
      </c>
      <c r="H15">
        <f t="shared" ref="H15:AI15" si="2">(-$C$9*(H12-G12))/$C$3</f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>
        <f t="shared" si="2"/>
        <v>0</v>
      </c>
      <c r="N15">
        <f t="shared" si="2"/>
        <v>0</v>
      </c>
      <c r="O15">
        <f t="shared" si="2"/>
        <v>0</v>
      </c>
      <c r="P15">
        <f t="shared" si="2"/>
        <v>0</v>
      </c>
      <c r="Q15">
        <f t="shared" si="2"/>
        <v>0</v>
      </c>
      <c r="R15">
        <f t="shared" si="2"/>
        <v>0</v>
      </c>
      <c r="S15">
        <f t="shared" si="2"/>
        <v>0</v>
      </c>
      <c r="T15">
        <f t="shared" si="2"/>
        <v>0</v>
      </c>
      <c r="U15">
        <f t="shared" si="2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>
        <f t="shared" si="2"/>
        <v>0</v>
      </c>
      <c r="AA15">
        <f t="shared" si="2"/>
        <v>0</v>
      </c>
      <c r="AB15">
        <f t="shared" si="2"/>
        <v>0</v>
      </c>
      <c r="AC15">
        <f t="shared" si="2"/>
        <v>0</v>
      </c>
      <c r="AD15">
        <f t="shared" si="2"/>
        <v>0</v>
      </c>
      <c r="AE15">
        <f t="shared" si="2"/>
        <v>0</v>
      </c>
      <c r="AF15">
        <f t="shared" si="2"/>
        <v>0</v>
      </c>
      <c r="AG15">
        <f t="shared" si="2"/>
        <v>0</v>
      </c>
      <c r="AH15">
        <f t="shared" si="2"/>
        <v>0</v>
      </c>
      <c r="AI15">
        <f t="shared" si="2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2:AJ18"/>
  <sheetViews>
    <sheetView zoomScale="75" zoomScaleNormal="75" workbookViewId="0">
      <selection activeCell="I15" sqref="I15"/>
    </sheetView>
  </sheetViews>
  <sheetFormatPr defaultRowHeight="15"/>
  <cols>
    <col min="6" max="6" width="11.7109375" bestFit="1" customWidth="1"/>
  </cols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60</v>
      </c>
      <c r="D5">
        <v>60.233333333333341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8</v>
      </c>
      <c r="C12">
        <v>300</v>
      </c>
      <c r="E12" t="s">
        <v>7</v>
      </c>
      <c r="F12">
        <f>C12</f>
        <v>300</v>
      </c>
      <c r="G12">
        <v>280.20114262798575</v>
      </c>
      <c r="H12">
        <v>260.57053452366898</v>
      </c>
      <c r="I12">
        <v>241.27335396752636</v>
      </c>
      <c r="J12">
        <v>222.46874067679317</v>
      </c>
      <c r="K12">
        <v>204.30702925674697</v>
      </c>
      <c r="L12">
        <v>186.92727013670742</v>
      </c>
      <c r="M12">
        <v>170.45510875086381</v>
      </c>
      <c r="N12">
        <v>155.00107463428773</v>
      </c>
      <c r="O12">
        <v>140.65931099015722</v>
      </c>
      <c r="P12">
        <v>127.5067536180474</v>
      </c>
      <c r="Q12">
        <v>115.60274732960713</v>
      </c>
      <c r="R12">
        <v>104.98906943559072</v>
      </c>
      <c r="S12">
        <v>95.690314648076594</v>
      </c>
      <c r="T12">
        <v>87.714584570723446</v>
      </c>
      <c r="U12">
        <v>81.054418255410752</v>
      </c>
      <c r="V12">
        <v>75.68789812172092</v>
      </c>
      <c r="W12">
        <v>71.579867553261167</v>
      </c>
      <c r="X12">
        <v>68.68320209085141</v>
      </c>
      <c r="Y12">
        <v>66.940084503407604</v>
      </c>
      <c r="Z12">
        <v>66.283244166503039</v>
      </c>
      <c r="AA12">
        <v>66.637132112902975</v>
      </c>
      <c r="AB12">
        <v>67.919013891339318</v>
      </c>
      <c r="AC12">
        <v>70.039972168091296</v>
      </c>
      <c r="AD12">
        <v>72.905819217013814</v>
      </c>
      <c r="AE12">
        <v>76.417925689672472</v>
      </c>
      <c r="AF12">
        <v>80.473976208137344</v>
      </c>
      <c r="AG12">
        <v>84.968664482862408</v>
      </c>
      <c r="AH12">
        <v>89.794341128753075</v>
      </c>
      <c r="AI12">
        <v>94.841626578966242</v>
      </c>
      <c r="AJ12">
        <f>C13</f>
        <v>100</v>
      </c>
    </row>
    <row r="13" spans="2:36">
      <c r="B13" t="s">
        <v>9</v>
      </c>
      <c r="C13">
        <v>100</v>
      </c>
    </row>
    <row r="14" spans="2:36">
      <c r="B14" t="s">
        <v>10</v>
      </c>
      <c r="G14">
        <f>G16*H14+G17</f>
        <v>280.28451209215399</v>
      </c>
      <c r="H14">
        <f t="shared" ref="G14:AH14" si="1">H16*I14+H17</f>
        <v>260.73576311264435</v>
      </c>
      <c r="I14">
        <f t="shared" si="1"/>
        <v>241.51747131108539</v>
      </c>
      <c r="J14">
        <f t="shared" si="1"/>
        <v>222.78741419664442</v>
      </c>
      <c r="K14">
        <f t="shared" si="1"/>
        <v>204.69470412190589</v>
      </c>
      <c r="L14">
        <f t="shared" si="1"/>
        <v>187.37734377748521</v>
      </c>
      <c r="M14">
        <f t="shared" si="1"/>
        <v>170.96013071462008</v>
      </c>
      <c r="N14">
        <f t="shared" si="1"/>
        <v>155.55296157926747</v>
      </c>
      <c r="O14">
        <f t="shared" si="1"/>
        <v>141.24956633387433</v>
      </c>
      <c r="P14">
        <f t="shared" si="1"/>
        <v>128.12668177591533</v>
      </c>
      <c r="Q14">
        <f t="shared" si="1"/>
        <v>116.24365353369214</v>
      </c>
      <c r="R14">
        <f t="shared" si="1"/>
        <v>105.64243769963892</v>
      </c>
      <c r="S14">
        <f t="shared" si="1"/>
        <v>96.347958393682063</v>
      </c>
      <c r="T14">
        <f t="shared" si="1"/>
        <v>88.368766578936132</v>
      </c>
      <c r="U14">
        <f t="shared" si="1"/>
        <v>81.697938780615559</v>
      </c>
      <c r="V14">
        <f t="shared" si="1"/>
        <v>76.314152032704555</v>
      </c>
      <c r="W14">
        <f t="shared" si="1"/>
        <v>72.182873106760752</v>
      </c>
      <c r="X14">
        <f t="shared" si="1"/>
        <v>69.257605287816148</v>
      </c>
      <c r="Y14">
        <f t="shared" si="1"/>
        <v>67.481143862800991</v>
      </c>
      <c r="Z14">
        <f t="shared" si="1"/>
        <v>66.786801156572579</v>
      </c>
      <c r="AA14">
        <f t="shared" si="1"/>
        <v>67.099572430483207</v>
      </c>
      <c r="AB14">
        <f t="shared" si="1"/>
        <v>68.337224339554268</v>
      </c>
      <c r="AC14">
        <f t="shared" si="1"/>
        <v>70.411297145055215</v>
      </c>
      <c r="AD14">
        <f t="shared" si="1"/>
        <v>73.228019904484</v>
      </c>
      <c r="AE14">
        <f t="shared" si="1"/>
        <v>76.689144038853158</v>
      </c>
      <c r="AF14">
        <f t="shared" si="1"/>
        <v>80.692704871583686</v>
      </c>
      <c r="AG14">
        <f t="shared" si="1"/>
        <v>85.13372303120687</v>
      </c>
      <c r="AH14">
        <f t="shared" si="1"/>
        <v>89.904858287518977</v>
      </c>
      <c r="AI14">
        <f>AI16*AJ14+AI17</f>
        <v>94.897027861362858</v>
      </c>
      <c r="AJ14">
        <v>100</v>
      </c>
    </row>
    <row r="15" spans="2:36">
      <c r="B15" t="s">
        <v>16</v>
      </c>
      <c r="C15">
        <f>C9/C3^2</f>
        <v>4139999.9999999991</v>
      </c>
    </row>
    <row r="16" spans="2:36">
      <c r="B16" t="s">
        <v>13</v>
      </c>
      <c r="C16">
        <f>(2*C9/C3^2)+(C8*C7/C4)</f>
        <v>16559999.999999996</v>
      </c>
      <c r="E16" t="s">
        <v>12</v>
      </c>
      <c r="F16">
        <v>0</v>
      </c>
      <c r="G16">
        <f>$C$15/($C$16-$C$17*F16)</f>
        <v>0.25</v>
      </c>
      <c r="H16">
        <f t="shared" ref="H16:AI16" si="2">$C$15/($C$16-$C$17*G16)</f>
        <v>0.26666666666666666</v>
      </c>
      <c r="I16">
        <f t="shared" si="2"/>
        <v>0.26785714285714285</v>
      </c>
      <c r="J16">
        <f t="shared" si="2"/>
        <v>0.26794258373205743</v>
      </c>
      <c r="K16">
        <f t="shared" si="2"/>
        <v>0.26794871794871794</v>
      </c>
      <c r="L16">
        <f t="shared" si="2"/>
        <v>0.26794915836482308</v>
      </c>
      <c r="M16">
        <f t="shared" si="2"/>
        <v>0.26794918998527245</v>
      </c>
      <c r="N16">
        <f t="shared" si="2"/>
        <v>0.26794919225551855</v>
      </c>
      <c r="O16">
        <f t="shared" si="2"/>
        <v>0.26794919241851489</v>
      </c>
      <c r="P16">
        <f t="shared" si="2"/>
        <v>0.26794919243021753</v>
      </c>
      <c r="Q16">
        <f t="shared" si="2"/>
        <v>0.26794919243105775</v>
      </c>
      <c r="R16">
        <f t="shared" si="2"/>
        <v>0.26794919243111803</v>
      </c>
      <c r="S16">
        <f t="shared" si="2"/>
        <v>0.26794919243112236</v>
      </c>
      <c r="T16">
        <f t="shared" si="2"/>
        <v>0.2679491924311227</v>
      </c>
      <c r="U16">
        <f t="shared" si="2"/>
        <v>0.2679491924311227</v>
      </c>
      <c r="V16">
        <f t="shared" si="2"/>
        <v>0.2679491924311227</v>
      </c>
      <c r="W16">
        <f t="shared" si="2"/>
        <v>0.2679491924311227</v>
      </c>
      <c r="X16">
        <f t="shared" si="2"/>
        <v>0.2679491924311227</v>
      </c>
      <c r="Y16">
        <f t="shared" si="2"/>
        <v>0.2679491924311227</v>
      </c>
      <c r="Z16">
        <f t="shared" si="2"/>
        <v>0.2679491924311227</v>
      </c>
      <c r="AA16">
        <f t="shared" si="2"/>
        <v>0.2679491924311227</v>
      </c>
      <c r="AB16">
        <f t="shared" si="2"/>
        <v>0.2679491924311227</v>
      </c>
      <c r="AC16">
        <f t="shared" si="2"/>
        <v>0.2679491924311227</v>
      </c>
      <c r="AD16">
        <f t="shared" si="2"/>
        <v>0.2679491924311227</v>
      </c>
      <c r="AE16">
        <f t="shared" si="2"/>
        <v>0.2679491924311227</v>
      </c>
      <c r="AF16">
        <f t="shared" si="2"/>
        <v>0.2679491924311227</v>
      </c>
      <c r="AG16">
        <f t="shared" si="2"/>
        <v>0.2679491924311227</v>
      </c>
      <c r="AH16">
        <f t="shared" si="2"/>
        <v>0.2679491924311227</v>
      </c>
      <c r="AI16">
        <f t="shared" si="2"/>
        <v>0.2679491924311227</v>
      </c>
    </row>
    <row r="17" spans="2:35">
      <c r="B17" t="s">
        <v>15</v>
      </c>
      <c r="C17">
        <f>C15</f>
        <v>4139999.9999999991</v>
      </c>
      <c r="E17" t="s">
        <v>17</v>
      </c>
      <c r="F17">
        <f>F12</f>
        <v>300</v>
      </c>
      <c r="G17">
        <f>(F17*$C$17-G18)/($C$16-$C$17*F16)</f>
        <v>215.1005713139929</v>
      </c>
      <c r="H17">
        <f t="shared" ref="H17:AI17" si="3">(G17*$C$17-H18)/($C$16-$C$17*G16)</f>
        <v>196.33110409635489</v>
      </c>
      <c r="I17">
        <f t="shared" si="3"/>
        <v>181.84227107984134</v>
      </c>
      <c r="J17">
        <f t="shared" si="3"/>
        <v>167.94098629795192</v>
      </c>
      <c r="K17">
        <f t="shared" si="3"/>
        <v>154.48718508409254</v>
      </c>
      <c r="L17">
        <f t="shared" si="3"/>
        <v>141.56872063856261</v>
      </c>
      <c r="M17">
        <f t="shared" si="3"/>
        <v>129.27984065964515</v>
      </c>
      <c r="N17">
        <f t="shared" si="3"/>
        <v>117.70525437366356</v>
      </c>
      <c r="O17">
        <f t="shared" si="3"/>
        <v>106.91812542475377</v>
      </c>
      <c r="P17">
        <f t="shared" si="3"/>
        <v>96.979288686424511</v>
      </c>
      <c r="Q17">
        <f t="shared" si="3"/>
        <v>87.936847665625564</v>
      </c>
      <c r="R17">
        <f t="shared" si="3"/>
        <v>79.826080055664846</v>
      </c>
      <c r="S17">
        <f t="shared" si="3"/>
        <v>72.669618752721775</v>
      </c>
      <c r="T17">
        <f t="shared" si="3"/>
        <v>66.477869859382892</v>
      </c>
      <c r="U17">
        <f t="shared" si="3"/>
        <v>61.249623372386452</v>
      </c>
      <c r="V17">
        <f t="shared" si="3"/>
        <v>56.972809476389799</v>
      </c>
      <c r="W17">
        <f t="shared" si="3"/>
        <v>53.625353700176966</v>
      </c>
      <c r="X17">
        <f t="shared" si="3"/>
        <v>51.176087285450215</v>
      </c>
      <c r="Y17">
        <f t="shared" si="3"/>
        <v>49.585674427839393</v>
      </c>
      <c r="Z17">
        <f t="shared" si="3"/>
        <v>48.807524911350974</v>
      </c>
      <c r="AA17">
        <f t="shared" si="3"/>
        <v>48.788668355715174</v>
      </c>
      <c r="AB17">
        <f t="shared" si="3"/>
        <v>49.470574131508911</v>
      </c>
      <c r="AC17">
        <f t="shared" si="3"/>
        <v>50.789908348318555</v>
      </c>
      <c r="AD17">
        <f t="shared" si="3"/>
        <v>52.679225691039257</v>
      </c>
      <c r="AE17">
        <f t="shared" si="3"/>
        <v>55.067598933429394</v>
      </c>
      <c r="AF17">
        <f t="shared" si="3"/>
        <v>57.881192536716931</v>
      </c>
      <c r="AG17">
        <f t="shared" si="3"/>
        <v>61.043788857431636</v>
      </c>
      <c r="AH17">
        <f t="shared" si="3"/>
        <v>64.477276307953048</v>
      </c>
      <c r="AI17">
        <f t="shared" si="3"/>
        <v>68.102108618250597</v>
      </c>
    </row>
    <row r="18" spans="2:35">
      <c r="E18" t="s">
        <v>14</v>
      </c>
      <c r="F18">
        <f>(-($C$8*$C$7)/$C$4)*F12</f>
        <v>-2483999999.9999995</v>
      </c>
      <c r="G18">
        <f t="shared" ref="G18:AI18" si="4">(-($C$8*$C$7)/$C$4)*G12</f>
        <v>-2320065460.9597216</v>
      </c>
      <c r="H18">
        <f t="shared" si="4"/>
        <v>-2157524025.855979</v>
      </c>
      <c r="I18">
        <f t="shared" si="4"/>
        <v>-1997743370.8511181</v>
      </c>
      <c r="J18">
        <f t="shared" si="4"/>
        <v>-1842041172.8038473</v>
      </c>
      <c r="K18">
        <f t="shared" si="4"/>
        <v>-1691662202.2458646</v>
      </c>
      <c r="L18">
        <f t="shared" si="4"/>
        <v>-1547757796.7319372</v>
      </c>
      <c r="M18">
        <f t="shared" si="4"/>
        <v>-1411368300.4571521</v>
      </c>
      <c r="N18">
        <f t="shared" si="4"/>
        <v>-1283408897.9719024</v>
      </c>
      <c r="O18">
        <f t="shared" si="4"/>
        <v>-1164659094.9985018</v>
      </c>
      <c r="P18">
        <f t="shared" si="4"/>
        <v>-1055755919.9574324</v>
      </c>
      <c r="Q18">
        <f t="shared" si="4"/>
        <v>-957190747.88914692</v>
      </c>
      <c r="R18">
        <f t="shared" si="4"/>
        <v>-869309494.92669106</v>
      </c>
      <c r="S18">
        <f t="shared" si="4"/>
        <v>-792315805.28607416</v>
      </c>
      <c r="T18">
        <f t="shared" si="4"/>
        <v>-726276760.24559009</v>
      </c>
      <c r="U18">
        <f t="shared" si="4"/>
        <v>-671130583.15480101</v>
      </c>
      <c r="V18">
        <f t="shared" si="4"/>
        <v>-626695796.44784915</v>
      </c>
      <c r="W18">
        <f t="shared" si="4"/>
        <v>-592681303.34100235</v>
      </c>
      <c r="X18">
        <f t="shared" si="4"/>
        <v>-568696913.31224966</v>
      </c>
      <c r="Y18">
        <f t="shared" si="4"/>
        <v>-554263899.6882149</v>
      </c>
      <c r="Z18">
        <f t="shared" si="4"/>
        <v>-548825261.69864511</v>
      </c>
      <c r="AA18">
        <f t="shared" si="4"/>
        <v>-551755453.89483654</v>
      </c>
      <c r="AB18">
        <f t="shared" si="4"/>
        <v>-562369435.02028954</v>
      </c>
      <c r="AC18">
        <f t="shared" si="4"/>
        <v>-579930969.55179584</v>
      </c>
      <c r="AD18">
        <f t="shared" si="4"/>
        <v>-603660183.11687434</v>
      </c>
      <c r="AE18">
        <f t="shared" si="4"/>
        <v>-632740424.71048796</v>
      </c>
      <c r="AF18">
        <f t="shared" si="4"/>
        <v>-666324523.00337708</v>
      </c>
      <c r="AG18">
        <f t="shared" si="4"/>
        <v>-703540541.91810071</v>
      </c>
      <c r="AH18">
        <f t="shared" si="4"/>
        <v>-743497144.54607534</v>
      </c>
      <c r="AI18">
        <f t="shared" si="4"/>
        <v>-785288668.07384038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B2:AJ18"/>
  <sheetViews>
    <sheetView tabSelected="1" workbookViewId="0">
      <selection activeCell="G12" sqref="G12:AI12"/>
    </sheetView>
  </sheetViews>
  <sheetFormatPr defaultRowHeight="15"/>
  <sheetData>
    <row r="2" spans="2:36">
      <c r="B2" t="s">
        <v>0</v>
      </c>
      <c r="C2">
        <v>0.1</v>
      </c>
    </row>
    <row r="3" spans="2:36">
      <c r="B3" t="s">
        <v>1</v>
      </c>
      <c r="C3">
        <f>C2/30</f>
        <v>3.3333333333333335E-3</v>
      </c>
    </row>
    <row r="4" spans="2:36">
      <c r="B4" t="s">
        <v>2</v>
      </c>
      <c r="C4">
        <f>(C8*C7*C3^2)/(2*C9)</f>
        <v>0.4333333333333334</v>
      </c>
    </row>
    <row r="5" spans="2:36">
      <c r="B5" t="s">
        <v>3</v>
      </c>
      <c r="C5">
        <v>5000</v>
      </c>
      <c r="D5">
        <v>5000.2333333333345</v>
      </c>
    </row>
    <row r="7" spans="2:36">
      <c r="B7" t="s">
        <v>4</v>
      </c>
      <c r="C7">
        <v>460</v>
      </c>
    </row>
    <row r="8" spans="2:36">
      <c r="B8" t="s">
        <v>5</v>
      </c>
      <c r="C8">
        <v>7800</v>
      </c>
    </row>
    <row r="9" spans="2:36">
      <c r="B9" t="s">
        <v>6</v>
      </c>
      <c r="C9">
        <v>46</v>
      </c>
    </row>
    <row r="10" spans="2:36">
      <c r="F10">
        <v>1</v>
      </c>
      <c r="G10">
        <v>2</v>
      </c>
      <c r="H10">
        <v>3</v>
      </c>
      <c r="I10">
        <v>4</v>
      </c>
      <c r="J10">
        <v>5</v>
      </c>
      <c r="K10">
        <v>6</v>
      </c>
      <c r="L10">
        <v>7</v>
      </c>
      <c r="M10">
        <v>8</v>
      </c>
      <c r="N10">
        <v>9</v>
      </c>
      <c r="O10">
        <v>10</v>
      </c>
      <c r="P10">
        <v>11</v>
      </c>
      <c r="Q10">
        <v>12</v>
      </c>
      <c r="R10">
        <v>13</v>
      </c>
      <c r="S10">
        <v>14</v>
      </c>
      <c r="T10">
        <v>15</v>
      </c>
      <c r="U10">
        <v>16</v>
      </c>
      <c r="V10">
        <v>17</v>
      </c>
      <c r="W10">
        <v>18</v>
      </c>
      <c r="X10">
        <v>19</v>
      </c>
      <c r="Y10">
        <v>20</v>
      </c>
      <c r="Z10">
        <v>21</v>
      </c>
      <c r="AA10">
        <v>22</v>
      </c>
      <c r="AB10">
        <v>23</v>
      </c>
      <c r="AC10">
        <v>24</v>
      </c>
      <c r="AD10">
        <v>25</v>
      </c>
      <c r="AE10">
        <v>26</v>
      </c>
      <c r="AF10">
        <v>27</v>
      </c>
      <c r="AG10">
        <v>28</v>
      </c>
      <c r="AH10">
        <v>29</v>
      </c>
      <c r="AI10">
        <v>30</v>
      </c>
      <c r="AJ10">
        <v>31</v>
      </c>
    </row>
    <row r="11" spans="2:36">
      <c r="E11" t="s">
        <v>0</v>
      </c>
      <c r="F11" s="1">
        <v>0</v>
      </c>
      <c r="G11" s="1">
        <f>F11+$C$3</f>
        <v>3.3333333333333335E-3</v>
      </c>
      <c r="H11" s="1">
        <f>G11+$C$3</f>
        <v>6.6666666666666671E-3</v>
      </c>
      <c r="I11" s="1">
        <f t="shared" ref="I11:AJ11" si="0">H11+$C$3</f>
        <v>0.01</v>
      </c>
      <c r="J11" s="1">
        <f t="shared" si="0"/>
        <v>1.3333333333333334E-2</v>
      </c>
      <c r="K11" s="1">
        <f t="shared" si="0"/>
        <v>1.6666666666666666E-2</v>
      </c>
      <c r="L11" s="1">
        <f t="shared" si="0"/>
        <v>0.02</v>
      </c>
      <c r="M11" s="1">
        <f t="shared" si="0"/>
        <v>2.3333333333333334E-2</v>
      </c>
      <c r="N11" s="1">
        <f t="shared" si="0"/>
        <v>2.6666666666666668E-2</v>
      </c>
      <c r="O11" s="1">
        <f t="shared" si="0"/>
        <v>3.0000000000000002E-2</v>
      </c>
      <c r="P11" s="1">
        <f t="shared" si="0"/>
        <v>3.3333333333333333E-2</v>
      </c>
      <c r="Q11" s="1">
        <f t="shared" si="0"/>
        <v>3.6666666666666667E-2</v>
      </c>
      <c r="R11" s="1">
        <f t="shared" si="0"/>
        <v>0.04</v>
      </c>
      <c r="S11" s="1">
        <f t="shared" si="0"/>
        <v>4.3333333333333335E-2</v>
      </c>
      <c r="T11" s="1">
        <f t="shared" si="0"/>
        <v>4.6666666666666669E-2</v>
      </c>
      <c r="U11" s="1">
        <f t="shared" si="0"/>
        <v>0.05</v>
      </c>
      <c r="V11" s="1">
        <f t="shared" si="0"/>
        <v>5.3333333333333337E-2</v>
      </c>
      <c r="W11" s="1">
        <f t="shared" si="0"/>
        <v>5.6666666666666671E-2</v>
      </c>
      <c r="X11" s="1">
        <f t="shared" si="0"/>
        <v>6.0000000000000005E-2</v>
      </c>
      <c r="Y11" s="1">
        <f t="shared" si="0"/>
        <v>6.3333333333333339E-2</v>
      </c>
      <c r="Z11" s="1">
        <f t="shared" si="0"/>
        <v>6.6666666666666666E-2</v>
      </c>
      <c r="AA11" s="1">
        <f t="shared" si="0"/>
        <v>6.9999999999999993E-2</v>
      </c>
      <c r="AB11" s="1">
        <f t="shared" si="0"/>
        <v>7.333333333333332E-2</v>
      </c>
      <c r="AC11" s="1">
        <f t="shared" si="0"/>
        <v>7.6666666666666647E-2</v>
      </c>
      <c r="AD11" s="1">
        <f t="shared" si="0"/>
        <v>7.9999999999999974E-2</v>
      </c>
      <c r="AE11" s="1">
        <f t="shared" si="0"/>
        <v>8.3333333333333301E-2</v>
      </c>
      <c r="AF11" s="1">
        <f t="shared" si="0"/>
        <v>8.6666666666666628E-2</v>
      </c>
      <c r="AG11" s="1">
        <f t="shared" si="0"/>
        <v>8.9999999999999955E-2</v>
      </c>
      <c r="AH11" s="1">
        <f t="shared" si="0"/>
        <v>9.3333333333333282E-2</v>
      </c>
      <c r="AI11" s="1">
        <f t="shared" si="0"/>
        <v>9.6666666666666609E-2</v>
      </c>
      <c r="AJ11" s="1">
        <f t="shared" si="0"/>
        <v>9.9999999999999936E-2</v>
      </c>
    </row>
    <row r="12" spans="2:36">
      <c r="B12" t="s">
        <v>8</v>
      </c>
      <c r="C12">
        <v>300</v>
      </c>
      <c r="F12">
        <f>F15*C3/C9+G12</f>
        <v>299.99996044542291</v>
      </c>
      <c r="G12">
        <v>293.33329377875623</v>
      </c>
      <c r="H12">
        <v>286.66662727472158</v>
      </c>
      <c r="I12">
        <v>279.99996087866236</v>
      </c>
      <c r="J12">
        <v>273.33329458983695</v>
      </c>
      <c r="K12">
        <v>266.6666284072096</v>
      </c>
      <c r="L12">
        <v>259.99996232945358</v>
      </c>
      <c r="M12">
        <v>253.33329635495471</v>
      </c>
      <c r="N12">
        <v>246.6666304818155</v>
      </c>
      <c r="O12">
        <v>239.99996470786101</v>
      </c>
      <c r="P12">
        <v>233.3332990306443</v>
      </c>
      <c r="Q12">
        <v>226.66663344745308</v>
      </c>
      <c r="R12">
        <v>219.99996795531754</v>
      </c>
      <c r="S12">
        <v>213.33330255101833</v>
      </c>
      <c r="T12">
        <v>206.66663723109514</v>
      </c>
      <c r="U12">
        <v>199.99997199185648</v>
      </c>
      <c r="V12">
        <v>193.33330682938973</v>
      </c>
      <c r="W12">
        <v>186.66664173957173</v>
      </c>
      <c r="X12">
        <v>179.99997671808021</v>
      </c>
      <c r="Y12">
        <v>173.33331176040576</v>
      </c>
      <c r="Z12">
        <v>166.66664686186391</v>
      </c>
      <c r="AA12">
        <v>159.99998201760809</v>
      </c>
      <c r="AB12">
        <v>153.33331722264302</v>
      </c>
      <c r="AC12">
        <v>146.6666524718382</v>
      </c>
      <c r="AD12">
        <v>139.9999877599422</v>
      </c>
      <c r="AE12">
        <v>133.33332308159689</v>
      </c>
      <c r="AF12">
        <v>126.6666584313521</v>
      </c>
      <c r="AG12">
        <v>119.99999380368075</v>
      </c>
      <c r="AH12">
        <v>113.33332919299383</v>
      </c>
      <c r="AI12">
        <v>106.66666459365581</v>
      </c>
      <c r="AJ12">
        <f>C13</f>
        <v>100</v>
      </c>
    </row>
    <row r="13" spans="2:36">
      <c r="B13" t="s">
        <v>9</v>
      </c>
      <c r="C13">
        <v>100</v>
      </c>
    </row>
    <row r="14" spans="2:36">
      <c r="B14" t="s">
        <v>10</v>
      </c>
      <c r="G14">
        <f t="shared" ref="G14:AH14" si="1">G16*H14+G17</f>
        <v>293.33329383289271</v>
      </c>
      <c r="H14">
        <f t="shared" si="1"/>
        <v>286.66662732863546</v>
      </c>
      <c r="I14">
        <f t="shared" si="1"/>
        <v>279.99996093220591</v>
      </c>
      <c r="J14">
        <f t="shared" si="1"/>
        <v>273.33329464286339</v>
      </c>
      <c r="K14">
        <f t="shared" si="1"/>
        <v>266.66662845957353</v>
      </c>
      <c r="L14">
        <f t="shared" si="1"/>
        <v>259.99996238101147</v>
      </c>
      <c r="M14">
        <f t="shared" si="1"/>
        <v>253.33329640556525</v>
      </c>
      <c r="N14">
        <f t="shared" si="1"/>
        <v>246.66663053134005</v>
      </c>
      <c r="O14">
        <f t="shared" si="1"/>
        <v>239.99996475616373</v>
      </c>
      <c r="P14">
        <f t="shared" si="1"/>
        <v>233.33329907759276</v>
      </c>
      <c r="Q14">
        <f t="shared" si="1"/>
        <v>226.66663349291866</v>
      </c>
      <c r="R14">
        <f t="shared" si="1"/>
        <v>219.99996799917562</v>
      </c>
      <c r="S14">
        <f t="shared" si="1"/>
        <v>213.33330259314863</v>
      </c>
      <c r="T14">
        <f t="shared" si="1"/>
        <v>206.6666372713822</v>
      </c>
      <c r="U14">
        <f t="shared" si="1"/>
        <v>199.99997203018989</v>
      </c>
      <c r="V14">
        <f t="shared" si="1"/>
        <v>193.33330686566441</v>
      </c>
      <c r="W14">
        <f t="shared" si="1"/>
        <v>186.66664177368824</v>
      </c>
      <c r="X14">
        <f t="shared" si="1"/>
        <v>179.99997674994509</v>
      </c>
      <c r="Y14">
        <f t="shared" si="1"/>
        <v>173.33331178993163</v>
      </c>
      <c r="Z14">
        <f t="shared" si="1"/>
        <v>166.66664688896981</v>
      </c>
      <c r="AA14">
        <f t="shared" si="1"/>
        <v>159.99998204221976</v>
      </c>
      <c r="AB14">
        <f t="shared" si="1"/>
        <v>153.33331724469298</v>
      </c>
      <c r="AC14">
        <f t="shared" si="1"/>
        <v>146.66665249126601</v>
      </c>
      <c r="AD14">
        <f t="shared" si="1"/>
        <v>139.99998777669461</v>
      </c>
      <c r="AE14">
        <f t="shared" si="1"/>
        <v>133.33332309562795</v>
      </c>
      <c r="AF14">
        <f t="shared" si="1"/>
        <v>126.6666584426234</v>
      </c>
      <c r="AG14">
        <f t="shared" si="1"/>
        <v>119.99999381216138</v>
      </c>
      <c r="AH14">
        <f t="shared" si="1"/>
        <v>113.33332919866054</v>
      </c>
      <c r="AI14">
        <f>AI16*AJ14+AI17</f>
        <v>106.66666459649304</v>
      </c>
      <c r="AJ14">
        <v>100</v>
      </c>
    </row>
    <row r="15" spans="2:36">
      <c r="B15" t="s">
        <v>16</v>
      </c>
      <c r="C15">
        <f>C9/C3^2</f>
        <v>4139999.9999999991</v>
      </c>
      <c r="E15" t="s">
        <v>11</v>
      </c>
      <c r="F15">
        <v>92000</v>
      </c>
      <c r="G15">
        <f>-$C$9*(G12-F12)/$C$3</f>
        <v>92000.000000000262</v>
      </c>
      <c r="H15">
        <f t="shared" ref="H15:AI15" si="2">-$C$9*(H12-G12)/$C$3</f>
        <v>91999.997755678181</v>
      </c>
      <c r="I15">
        <f t="shared" si="2"/>
        <v>91999.996265617141</v>
      </c>
      <c r="J15">
        <f t="shared" si="2"/>
        <v>91999.994785790666</v>
      </c>
      <c r="K15">
        <f t="shared" si="2"/>
        <v>91999.993320257461</v>
      </c>
      <c r="L15">
        <f t="shared" si="2"/>
        <v>91999.991873033068</v>
      </c>
      <c r="M15">
        <f t="shared" si="2"/>
        <v>91999.990448084383</v>
      </c>
      <c r="N15">
        <f t="shared" si="2"/>
        <v>91999.989049321084</v>
      </c>
      <c r="O15">
        <f t="shared" si="2"/>
        <v>91999.987680571983</v>
      </c>
      <c r="P15">
        <f t="shared" si="2"/>
        <v>91999.986345590631</v>
      </c>
      <c r="Q15">
        <f t="shared" si="2"/>
        <v>91999.985048038798</v>
      </c>
      <c r="R15">
        <f t="shared" si="2"/>
        <v>91999.983791470397</v>
      </c>
      <c r="S15">
        <f t="shared" si="2"/>
        <v>91999.98257932908</v>
      </c>
      <c r="T15">
        <f t="shared" si="2"/>
        <v>91999.981414940121</v>
      </c>
      <c r="U15">
        <f t="shared" si="2"/>
        <v>91999.980301493415</v>
      </c>
      <c r="V15">
        <f t="shared" si="2"/>
        <v>91999.979242041241</v>
      </c>
      <c r="W15">
        <f t="shared" si="2"/>
        <v>91999.978239488351</v>
      </c>
      <c r="X15">
        <f t="shared" si="2"/>
        <v>91999.977296583034</v>
      </c>
      <c r="Y15">
        <f t="shared" si="2"/>
        <v>91999.976415907295</v>
      </c>
      <c r="Z15">
        <f t="shared" si="2"/>
        <v>91999.975599877565</v>
      </c>
      <c r="AA15">
        <f t="shared" si="2"/>
        <v>91999.974850730301</v>
      </c>
      <c r="AB15">
        <f t="shared" si="2"/>
        <v>91999.974170517991</v>
      </c>
      <c r="AC15">
        <f t="shared" si="2"/>
        <v>91999.97356110641</v>
      </c>
      <c r="AD15">
        <f t="shared" si="2"/>
        <v>91999.97302416485</v>
      </c>
      <c r="AE15">
        <f t="shared" si="2"/>
        <v>91999.972561165312</v>
      </c>
      <c r="AF15">
        <f t="shared" si="2"/>
        <v>91999.972173377988</v>
      </c>
      <c r="AG15">
        <f t="shared" si="2"/>
        <v>91999.971861864644</v>
      </c>
      <c r="AH15">
        <f t="shared" si="2"/>
        <v>91999.971627479521</v>
      </c>
      <c r="AI15">
        <f t="shared" si="2"/>
        <v>91999.971470864664</v>
      </c>
    </row>
    <row r="16" spans="2:36">
      <c r="B16" t="s">
        <v>13</v>
      </c>
      <c r="C16">
        <f>(2*C9/C3^2)+(C8*C7/C4)</f>
        <v>16559999.999999996</v>
      </c>
      <c r="E16" t="s">
        <v>12</v>
      </c>
      <c r="F16">
        <v>0</v>
      </c>
      <c r="G16">
        <f>$C$15/($C$16-$C$17*F16)</f>
        <v>0.25</v>
      </c>
      <c r="H16">
        <f t="shared" ref="H16:AI16" si="3">$C$15/($C$16-$C$17*G16)</f>
        <v>0.26666666666666666</v>
      </c>
      <c r="I16">
        <f t="shared" si="3"/>
        <v>0.26785714285714285</v>
      </c>
      <c r="J16">
        <f t="shared" si="3"/>
        <v>0.26794258373205743</v>
      </c>
      <c r="K16">
        <f t="shared" si="3"/>
        <v>0.26794871794871794</v>
      </c>
      <c r="L16">
        <f t="shared" si="3"/>
        <v>0.26794915836482308</v>
      </c>
      <c r="M16">
        <f t="shared" si="3"/>
        <v>0.26794918998527245</v>
      </c>
      <c r="N16">
        <f t="shared" si="3"/>
        <v>0.26794919225551855</v>
      </c>
      <c r="O16">
        <f t="shared" si="3"/>
        <v>0.26794919241851489</v>
      </c>
      <c r="P16">
        <f t="shared" si="3"/>
        <v>0.26794919243021753</v>
      </c>
      <c r="Q16">
        <f t="shared" si="3"/>
        <v>0.26794919243105775</v>
      </c>
      <c r="R16">
        <f t="shared" si="3"/>
        <v>0.26794919243111803</v>
      </c>
      <c r="S16">
        <f t="shared" si="3"/>
        <v>0.26794919243112236</v>
      </c>
      <c r="T16">
        <f t="shared" si="3"/>
        <v>0.2679491924311227</v>
      </c>
      <c r="U16">
        <f t="shared" si="3"/>
        <v>0.2679491924311227</v>
      </c>
      <c r="V16">
        <f t="shared" si="3"/>
        <v>0.2679491924311227</v>
      </c>
      <c r="W16">
        <f t="shared" si="3"/>
        <v>0.2679491924311227</v>
      </c>
      <c r="X16">
        <f t="shared" si="3"/>
        <v>0.2679491924311227</v>
      </c>
      <c r="Y16">
        <f t="shared" si="3"/>
        <v>0.2679491924311227</v>
      </c>
      <c r="Z16">
        <f t="shared" si="3"/>
        <v>0.2679491924311227</v>
      </c>
      <c r="AA16">
        <f t="shared" si="3"/>
        <v>0.2679491924311227</v>
      </c>
      <c r="AB16">
        <f t="shared" si="3"/>
        <v>0.2679491924311227</v>
      </c>
      <c r="AC16">
        <f t="shared" si="3"/>
        <v>0.2679491924311227</v>
      </c>
      <c r="AD16">
        <f t="shared" si="3"/>
        <v>0.2679491924311227</v>
      </c>
      <c r="AE16">
        <f t="shared" si="3"/>
        <v>0.2679491924311227</v>
      </c>
      <c r="AF16">
        <f t="shared" si="3"/>
        <v>0.2679491924311227</v>
      </c>
      <c r="AG16">
        <f t="shared" si="3"/>
        <v>0.2679491924311227</v>
      </c>
      <c r="AH16">
        <f t="shared" si="3"/>
        <v>0.2679491924311227</v>
      </c>
      <c r="AI16">
        <f t="shared" si="3"/>
        <v>0.2679491924311227</v>
      </c>
    </row>
    <row r="17" spans="2:35">
      <c r="B17" t="s">
        <v>15</v>
      </c>
      <c r="C17">
        <f>C15</f>
        <v>4139999.9999999991</v>
      </c>
      <c r="E17" t="s">
        <v>17</v>
      </c>
      <c r="F17">
        <f>F12</f>
        <v>299.99996044542291</v>
      </c>
      <c r="G17">
        <f>(F17*$C$17-G18)/($C$16-$C$17*F16)</f>
        <v>221.66663700073386</v>
      </c>
      <c r="H17">
        <f t="shared" ref="H17:AI17" si="4">(G17*$C$17-H18)/($C$16-$C$17*G16)</f>
        <v>211.99997108004723</v>
      </c>
      <c r="I17">
        <f t="shared" si="4"/>
        <v>206.78568558143891</v>
      </c>
      <c r="J17">
        <f t="shared" si="4"/>
        <v>201.88194921828864</v>
      </c>
      <c r="K17">
        <f t="shared" si="4"/>
        <v>196.99997187286661</v>
      </c>
      <c r="L17">
        <f t="shared" si="4"/>
        <v>192.11951882335401</v>
      </c>
      <c r="M17">
        <f t="shared" si="4"/>
        <v>187.23917255829622</v>
      </c>
      <c r="N17">
        <f t="shared" si="4"/>
        <v>182.35883383357304</v>
      </c>
      <c r="O17">
        <f t="shared" si="4"/>
        <v>177.47849570397494</v>
      </c>
      <c r="P17">
        <f t="shared" si="4"/>
        <v>172.5981576822891</v>
      </c>
      <c r="Q17">
        <f t="shared" si="4"/>
        <v>167.71781973268099</v>
      </c>
      <c r="R17">
        <f t="shared" si="4"/>
        <v>162.8374818506781</v>
      </c>
      <c r="S17">
        <f t="shared" si="4"/>
        <v>157.95714403382607</v>
      </c>
      <c r="T17">
        <f t="shared" si="4"/>
        <v>153.07680627964569</v>
      </c>
      <c r="U17">
        <f t="shared" si="4"/>
        <v>148.19646858549669</v>
      </c>
      <c r="V17">
        <f t="shared" si="4"/>
        <v>143.31613094857497</v>
      </c>
      <c r="W17">
        <f t="shared" si="4"/>
        <v>138.43579336591961</v>
      </c>
      <c r="X17">
        <f t="shared" si="4"/>
        <v>133.55545583442091</v>
      </c>
      <c r="Y17">
        <f t="shared" si="4"/>
        <v>128.67511835082908</v>
      </c>
      <c r="Z17">
        <f t="shared" si="4"/>
        <v>123.79478091176289</v>
      </c>
      <c r="AA17">
        <f t="shared" si="4"/>
        <v>118.91444351371914</v>
      </c>
      <c r="AB17">
        <f t="shared" si="4"/>
        <v>114.03410615308213</v>
      </c>
      <c r="AC17">
        <f t="shared" si="4"/>
        <v>109.15376882613364</v>
      </c>
      <c r="AD17">
        <f t="shared" si="4"/>
        <v>104.27343152906313</v>
      </c>
      <c r="AE17">
        <f t="shared" si="4"/>
        <v>99.393094257978149</v>
      </c>
      <c r="AF17">
        <f t="shared" si="4"/>
        <v>94.512757008915031</v>
      </c>
      <c r="AG17">
        <f t="shared" si="4"/>
        <v>89.632419777849705</v>
      </c>
      <c r="AH17">
        <f t="shared" si="4"/>
        <v>84.7520825607088</v>
      </c>
      <c r="AI17">
        <f t="shared" si="4"/>
        <v>79.871745353380774</v>
      </c>
    </row>
    <row r="18" spans="2:35">
      <c r="E18" t="s">
        <v>14</v>
      </c>
      <c r="F18">
        <f>(-($C$8*$C$7)/$C$4)*F12</f>
        <v>-2483999672.4881015</v>
      </c>
      <c r="G18">
        <f t="shared" ref="G18:AI18" si="5">(-($C$8*$C$7)/$C$4)*G12</f>
        <v>-2428799672.4881015</v>
      </c>
      <c r="H18">
        <f t="shared" si="5"/>
        <v>-2373599673.8346944</v>
      </c>
      <c r="I18">
        <f t="shared" si="5"/>
        <v>-2318399676.0753241</v>
      </c>
      <c r="J18">
        <f t="shared" si="5"/>
        <v>-2263199679.2038498</v>
      </c>
      <c r="K18">
        <f t="shared" si="5"/>
        <v>-2207999683.2116952</v>
      </c>
      <c r="L18">
        <f t="shared" si="5"/>
        <v>-2152799688.0878754</v>
      </c>
      <c r="M18">
        <f t="shared" si="5"/>
        <v>-2097599693.8190248</v>
      </c>
      <c r="N18">
        <f t="shared" si="5"/>
        <v>-2042399700.3894322</v>
      </c>
      <c r="O18">
        <f t="shared" si="5"/>
        <v>-1987199707.7810888</v>
      </c>
      <c r="P18">
        <f t="shared" si="5"/>
        <v>-1931999715.9737346</v>
      </c>
      <c r="Q18">
        <f t="shared" si="5"/>
        <v>-1876799724.9449112</v>
      </c>
      <c r="R18">
        <f t="shared" si="5"/>
        <v>-1821599734.6700292</v>
      </c>
      <c r="S18">
        <f t="shared" si="5"/>
        <v>-1766399745.1224315</v>
      </c>
      <c r="T18">
        <f t="shared" si="5"/>
        <v>-1711199756.2734675</v>
      </c>
      <c r="U18">
        <f t="shared" si="5"/>
        <v>-1655999768.0925715</v>
      </c>
      <c r="V18">
        <f t="shared" si="5"/>
        <v>-1600799780.5473468</v>
      </c>
      <c r="W18">
        <f t="shared" si="5"/>
        <v>-1545599793.6036537</v>
      </c>
      <c r="X18">
        <f t="shared" si="5"/>
        <v>-1490399807.225704</v>
      </c>
      <c r="Y18">
        <f t="shared" si="5"/>
        <v>-1435199821.3761597</v>
      </c>
      <c r="Z18">
        <f t="shared" si="5"/>
        <v>-1379999836.016233</v>
      </c>
      <c r="AA18">
        <f t="shared" si="5"/>
        <v>-1324799851.1057949</v>
      </c>
      <c r="AB18">
        <f t="shared" si="5"/>
        <v>-1269599866.6034842</v>
      </c>
      <c r="AC18">
        <f t="shared" si="5"/>
        <v>-1214399882.4668202</v>
      </c>
      <c r="AD18">
        <f t="shared" si="5"/>
        <v>-1159199898.6523213</v>
      </c>
      <c r="AE18">
        <f t="shared" si="5"/>
        <v>-1103999915.115622</v>
      </c>
      <c r="AF18">
        <f t="shared" si="5"/>
        <v>-1048799931.8115953</v>
      </c>
      <c r="AG18">
        <f t="shared" si="5"/>
        <v>-993599948.69447649</v>
      </c>
      <c r="AH18">
        <f t="shared" si="5"/>
        <v>-938399965.71798885</v>
      </c>
      <c r="AI18">
        <f t="shared" si="5"/>
        <v>-883199982.83546996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ДИМА</dc:creator>
  <cp:lastModifiedBy>ДИМА</cp:lastModifiedBy>
  <dcterms:created xsi:type="dcterms:W3CDTF">2021-02-19T09:41:52Z</dcterms:created>
  <dcterms:modified xsi:type="dcterms:W3CDTF">2021-03-18T15:09:56Z</dcterms:modified>
</cp:coreProperties>
</file>