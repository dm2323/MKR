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240" yWindow="30" windowWidth="19035" windowHeight="7785" activeTab="3"/>
  </bookViews>
  <sheets>
    <sheet name="Лист1" sheetId="1" r:id="rId1"/>
    <sheet name="Лист2" sheetId="2" r:id="rId2"/>
    <sheet name="Лист3" sheetId="3" r:id="rId3"/>
    <sheet name="Лист4" sheetId="4" r:id="rId4"/>
  </sheets>
  <calcPr calcId="125725"/>
</workbook>
</file>

<file path=xl/calcChain.xml><?xml version="1.0" encoding="utf-8"?>
<calcChain xmlns="http://schemas.openxmlformats.org/spreadsheetml/2006/main">
  <c r="F12" i="4"/>
  <c r="C15"/>
  <c r="C3"/>
  <c r="AF15" s="1"/>
  <c r="F12" i="3"/>
  <c r="C15"/>
  <c r="AI15"/>
  <c r="AH15"/>
  <c r="AE15"/>
  <c r="AD15"/>
  <c r="AA15"/>
  <c r="Z15"/>
  <c r="W15"/>
  <c r="V15"/>
  <c r="S15"/>
  <c r="R15"/>
  <c r="O15"/>
  <c r="N15"/>
  <c r="K15"/>
  <c r="J15"/>
  <c r="AF14"/>
  <c r="AB14"/>
  <c r="X14"/>
  <c r="T14"/>
  <c r="P14"/>
  <c r="L14"/>
  <c r="H14"/>
  <c r="G11"/>
  <c r="H11" s="1"/>
  <c r="I11" s="1"/>
  <c r="J11" s="1"/>
  <c r="K11" s="1"/>
  <c r="L11" s="1"/>
  <c r="M11" s="1"/>
  <c r="N11" s="1"/>
  <c r="O11" s="1"/>
  <c r="P11" s="1"/>
  <c r="Q11" s="1"/>
  <c r="R11" s="1"/>
  <c r="S11" s="1"/>
  <c r="T11" s="1"/>
  <c r="U11" s="1"/>
  <c r="V11" s="1"/>
  <c r="W11" s="1"/>
  <c r="X11" s="1"/>
  <c r="Y11" s="1"/>
  <c r="Z11" s="1"/>
  <c r="AA11" s="1"/>
  <c r="AB11" s="1"/>
  <c r="AC11" s="1"/>
  <c r="AD11" s="1"/>
  <c r="AE11" s="1"/>
  <c r="AF11" s="1"/>
  <c r="AG11" s="1"/>
  <c r="AH11" s="1"/>
  <c r="AI11" s="1"/>
  <c r="AJ11" s="1"/>
  <c r="C4"/>
  <c r="AG14" s="1"/>
  <c r="C3"/>
  <c r="AF15" s="1"/>
  <c r="I15" i="2"/>
  <c r="J15"/>
  <c r="K15"/>
  <c r="L15"/>
  <c r="M15"/>
  <c r="N15"/>
  <c r="O15"/>
  <c r="P15"/>
  <c r="Q15"/>
  <c r="R15"/>
  <c r="S15"/>
  <c r="T15"/>
  <c r="U15"/>
  <c r="V15"/>
  <c r="W15"/>
  <c r="X15"/>
  <c r="Y15"/>
  <c r="Z15"/>
  <c r="AA15"/>
  <c r="AB15"/>
  <c r="AC15"/>
  <c r="AD15"/>
  <c r="AE15"/>
  <c r="AF15"/>
  <c r="AG15"/>
  <c r="AH15"/>
  <c r="AI15"/>
  <c r="N11"/>
  <c r="G11"/>
  <c r="H11" s="1"/>
  <c r="I11" s="1"/>
  <c r="J11" s="1"/>
  <c r="K11" s="1"/>
  <c r="L11" s="1"/>
  <c r="M11" s="1"/>
  <c r="C4"/>
  <c r="AE14" s="1"/>
  <c r="C3"/>
  <c r="H14" i="1"/>
  <c r="I14"/>
  <c r="J14"/>
  <c r="K14"/>
  <c r="L14"/>
  <c r="M14"/>
  <c r="N14"/>
  <c r="O14"/>
  <c r="P14"/>
  <c r="Q14"/>
  <c r="R14"/>
  <c r="S14"/>
  <c r="T14"/>
  <c r="U14"/>
  <c r="V14"/>
  <c r="W14"/>
  <c r="X14"/>
  <c r="Y14"/>
  <c r="Z14"/>
  <c r="AA14"/>
  <c r="AB14"/>
  <c r="AC14"/>
  <c r="AD14"/>
  <c r="AE14"/>
  <c r="AF14"/>
  <c r="AG14"/>
  <c r="AH14"/>
  <c r="AI14"/>
  <c r="AJ14"/>
  <c r="G14"/>
  <c r="C4"/>
  <c r="AJ12"/>
  <c r="F12"/>
  <c r="I11"/>
  <c r="J11"/>
  <c r="K11" s="1"/>
  <c r="L11" s="1"/>
  <c r="M11" s="1"/>
  <c r="N11" s="1"/>
  <c r="O11" s="1"/>
  <c r="P11" s="1"/>
  <c r="Q11" s="1"/>
  <c r="R11" s="1"/>
  <c r="S11" s="1"/>
  <c r="T11" s="1"/>
  <c r="U11" s="1"/>
  <c r="V11" s="1"/>
  <c r="W11" s="1"/>
  <c r="X11" s="1"/>
  <c r="Y11" s="1"/>
  <c r="Z11" s="1"/>
  <c r="AA11" s="1"/>
  <c r="AB11" s="1"/>
  <c r="AC11" s="1"/>
  <c r="AD11" s="1"/>
  <c r="AE11" s="1"/>
  <c r="AF11" s="1"/>
  <c r="AG11" s="1"/>
  <c r="AH11" s="1"/>
  <c r="AI11" s="1"/>
  <c r="AJ11" s="1"/>
  <c r="H11"/>
  <c r="G11"/>
  <c r="C3"/>
  <c r="P15" i="4" l="1"/>
  <c r="K15"/>
  <c r="O15"/>
  <c r="S15"/>
  <c r="W15"/>
  <c r="AA15"/>
  <c r="AE15"/>
  <c r="AI15"/>
  <c r="X15"/>
  <c r="G11"/>
  <c r="H11" s="1"/>
  <c r="I11" s="1"/>
  <c r="J11" s="1"/>
  <c r="K11" s="1"/>
  <c r="L11" s="1"/>
  <c r="M11" s="1"/>
  <c r="N11" s="1"/>
  <c r="O11" s="1"/>
  <c r="P11" s="1"/>
  <c r="Q11" s="1"/>
  <c r="R11" s="1"/>
  <c r="S11" s="1"/>
  <c r="T11" s="1"/>
  <c r="U11" s="1"/>
  <c r="V11" s="1"/>
  <c r="W11" s="1"/>
  <c r="X11" s="1"/>
  <c r="Y11" s="1"/>
  <c r="Z11" s="1"/>
  <c r="AA11" s="1"/>
  <c r="AB11" s="1"/>
  <c r="AC11" s="1"/>
  <c r="AD11" s="1"/>
  <c r="AE11" s="1"/>
  <c r="AF11" s="1"/>
  <c r="AG11" s="1"/>
  <c r="AH11" s="1"/>
  <c r="AI11" s="1"/>
  <c r="AJ11" s="1"/>
  <c r="J15"/>
  <c r="N15"/>
  <c r="R15"/>
  <c r="V15"/>
  <c r="Z15"/>
  <c r="AD15"/>
  <c r="AH15"/>
  <c r="L15"/>
  <c r="C4"/>
  <c r="I15"/>
  <c r="M15"/>
  <c r="Q15"/>
  <c r="U15"/>
  <c r="Y15"/>
  <c r="AC15"/>
  <c r="AG15"/>
  <c r="G15"/>
  <c r="H15"/>
  <c r="T15"/>
  <c r="AB15"/>
  <c r="S14" i="3"/>
  <c r="AA14"/>
  <c r="G15"/>
  <c r="J14"/>
  <c r="N14"/>
  <c r="R14"/>
  <c r="V14"/>
  <c r="Z14"/>
  <c r="AD14"/>
  <c r="AH14"/>
  <c r="I15"/>
  <c r="M15"/>
  <c r="Q15"/>
  <c r="U15"/>
  <c r="Y15"/>
  <c r="AC15"/>
  <c r="AG15"/>
  <c r="K14"/>
  <c r="O14"/>
  <c r="W14"/>
  <c r="AE14"/>
  <c r="AI14"/>
  <c r="I14"/>
  <c r="M14"/>
  <c r="Q14"/>
  <c r="U14"/>
  <c r="Y14"/>
  <c r="AC14"/>
  <c r="H15"/>
  <c r="L15"/>
  <c r="P15"/>
  <c r="T15"/>
  <c r="X15"/>
  <c r="AB15"/>
  <c r="O11" i="2"/>
  <c r="P11" s="1"/>
  <c r="Q11" s="1"/>
  <c r="R11" s="1"/>
  <c r="S11" s="1"/>
  <c r="T11" s="1"/>
  <c r="U11" s="1"/>
  <c r="V11" s="1"/>
  <c r="W11" s="1"/>
  <c r="X11" s="1"/>
  <c r="Y11" s="1"/>
  <c r="Z11" s="1"/>
  <c r="AA11" s="1"/>
  <c r="AB11" s="1"/>
  <c r="AC11" s="1"/>
  <c r="AD11" s="1"/>
  <c r="AE11" s="1"/>
  <c r="AF11" s="1"/>
  <c r="AG11" s="1"/>
  <c r="AH11" s="1"/>
  <c r="AI11" s="1"/>
  <c r="AJ11" s="1"/>
  <c r="J14"/>
  <c r="N14"/>
  <c r="R14"/>
  <c r="V14"/>
  <c r="Z14"/>
  <c r="AD14"/>
  <c r="AH14"/>
  <c r="I14"/>
  <c r="M14"/>
  <c r="Q14"/>
  <c r="U14"/>
  <c r="Y14"/>
  <c r="AC14"/>
  <c r="AG14"/>
  <c r="L14"/>
  <c r="P14"/>
  <c r="T14"/>
  <c r="X14"/>
  <c r="AB14"/>
  <c r="AF14"/>
  <c r="K14"/>
  <c r="O14"/>
  <c r="W14"/>
  <c r="AA14"/>
  <c r="AI14"/>
  <c r="S14"/>
  <c r="H15"/>
  <c r="H14"/>
  <c r="F12"/>
  <c r="G14" s="1"/>
  <c r="AD14" i="4" l="1"/>
  <c r="R14"/>
  <c r="AI14"/>
  <c r="AE14"/>
  <c r="AA14"/>
  <c r="W14"/>
  <c r="S14"/>
  <c r="O14"/>
  <c r="K14"/>
  <c r="G14"/>
  <c r="V14"/>
  <c r="J14"/>
  <c r="AF14"/>
  <c r="AB14"/>
  <c r="X14"/>
  <c r="T14"/>
  <c r="P14"/>
  <c r="L14"/>
  <c r="H14"/>
  <c r="AH14"/>
  <c r="N14"/>
  <c r="AG14"/>
  <c r="AC14"/>
  <c r="Y14"/>
  <c r="U14"/>
  <c r="Q14"/>
  <c r="M14"/>
  <c r="I14"/>
  <c r="Z14"/>
  <c r="G14" i="3"/>
  <c r="G15" i="2"/>
</calcChain>
</file>

<file path=xl/sharedStrings.xml><?xml version="1.0" encoding="utf-8"?>
<sst xmlns="http://schemas.openxmlformats.org/spreadsheetml/2006/main" count="56" uniqueCount="16">
  <si>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</si>
  <si>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</si>
  <si>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</si>
  <si>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</si>
  <si>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</si>
  <si>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</si>
  <si>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</si>
  <si>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</si>
  <si>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</si>
  <si>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</si>
  <si>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</si>
  <si>
    <t>q</t>
  </si>
  <si>
    <t>Tgas</t>
  </si>
  <si>
    <t>alfa</t>
  </si>
  <si>
    <t>lamda al</t>
  </si>
  <si>
    <t>150937.5</t>
  </si>
</sst>
</file>

<file path=xl/styles.xml><?xml version="1.0" encoding="utf-8"?>
<styleSheet xmlns="http://schemas.openxmlformats.org/spreadsheetml/2006/main">
  <numFmts count="1">
    <numFmt numFmtId="164" formatCode="0.000"/>
  </numFmts>
  <fonts count="2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">
    <xf numFmtId="0" fontId="0" fillId="0" borderId="0" xfId="0"/>
    <xf numFmtId="164" fontId="0" fillId="0" borderId="0" xfId="0" applyNumberFormat="1"/>
    <xf numFmtId="0" fontId="0" fillId="0" borderId="0" xfId="1" applyNumberFormat="1" applyFont="1"/>
  </cellXfs>
  <cellStyles count="2">
    <cellStyle name="Обычный" xfId="0" builtinId="0"/>
    <cellStyle name="Процентный" xfId="1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scatterChart>
        <c:scatterStyle val="smoothMarker"/>
        <c:ser>
          <c:idx val="0"/>
          <c:order val="0"/>
          <c:marker>
            <c:symbol val="none"/>
          </c:marker>
          <c:xVal>
            <c:numRef>
              <c:f>Лист1!$F$11:$AJ$11</c:f>
              <c:numCache>
                <c:formatCode>0.000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Лист1!$F$12:$AJ$12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261.01895071136693</c:v>
                </c:pt>
                <c:pt idx="3">
                  <c:v>241.69187227593488</c:v>
                </c:pt>
                <c:pt idx="4">
                  <c:v>223.32288929753321</c:v>
                </c:pt>
                <c:pt idx="5">
                  <c:v>204.95390631913145</c:v>
                </c:pt>
                <c:pt idx="6">
                  <c:v>188.10922208123708</c:v>
                </c:pt>
                <c:pt idx="7">
                  <c:v>171.26453784334268</c:v>
                </c:pt>
                <c:pt idx="8">
                  <c:v>156.41062560854434</c:v>
                </c:pt>
                <c:pt idx="9">
                  <c:v>141.55671337374596</c:v>
                </c:pt>
                <c:pt idx="10">
                  <c:v>129.0367150615379</c:v>
                </c:pt>
                <c:pt idx="11">
                  <c:v>116.51671674932982</c:v>
                </c:pt>
                <c:pt idx="12">
                  <c:v>106.53935305104244</c:v>
                </c:pt>
                <c:pt idx="13">
                  <c:v>96.561989352755049</c:v>
                </c:pt>
                <c:pt idx="14">
                  <c:v>89.202264063403447</c:v>
                </c:pt>
                <c:pt idx="15">
                  <c:v>81.842538774051832</c:v>
                </c:pt>
                <c:pt idx="16">
                  <c:v>77.051862944328036</c:v>
                </c:pt>
                <c:pt idx="17">
                  <c:v>72.26118711460424</c:v>
                </c:pt>
                <c:pt idx="18">
                  <c:v>69.883647818529624</c:v>
                </c:pt>
                <c:pt idx="19">
                  <c:v>67.506108522455037</c:v>
                </c:pt>
                <c:pt idx="20">
                  <c:v>67.297535274227698</c:v>
                </c:pt>
                <c:pt idx="21">
                  <c:v>67.088962026000345</c:v>
                </c:pt>
                <c:pt idx="22">
                  <c:v>68.736044613043219</c:v>
                </c:pt>
                <c:pt idx="23">
                  <c:v>70.383127200086093</c:v>
                </c:pt>
                <c:pt idx="24">
                  <c:v>73.520809538578931</c:v>
                </c:pt>
                <c:pt idx="25">
                  <c:v>76.658491877071754</c:v>
                </c:pt>
                <c:pt idx="26">
                  <c:v>80.884877873958871</c:v>
                </c:pt>
                <c:pt idx="27">
                  <c:v>85.111263870845988</c:v>
                </c:pt>
                <c:pt idx="28">
                  <c:v>90.000074948392268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</c:ser>
        <c:axId val="109667456"/>
        <c:axId val="109653376"/>
      </c:scatterChart>
      <c:valAx>
        <c:axId val="109667456"/>
        <c:scaling>
          <c:orientation val="minMax"/>
        </c:scaling>
        <c:axPos val="b"/>
        <c:numFmt formatCode="0.000" sourceLinked="1"/>
        <c:tickLblPos val="nextTo"/>
        <c:crossAx val="109653376"/>
        <c:crosses val="autoZero"/>
        <c:crossBetween val="midCat"/>
      </c:valAx>
      <c:valAx>
        <c:axId val="109653376"/>
        <c:scaling>
          <c:orientation val="minMax"/>
        </c:scaling>
        <c:axPos val="l"/>
        <c:majorGridlines/>
        <c:numFmt formatCode="General" sourceLinked="1"/>
        <c:tickLblPos val="nextTo"/>
        <c:crossAx val="10966745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scatterChart>
        <c:scatterStyle val="smoothMarker"/>
        <c:ser>
          <c:idx val="0"/>
          <c:order val="0"/>
          <c:marker>
            <c:symbol val="none"/>
          </c:marker>
          <c:xVal>
            <c:numRef>
              <c:f>Лист2!$F$11:$AJ$11</c:f>
              <c:numCache>
                <c:formatCode>0.000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Лист2!$F$12:$AJ$12</c:f>
              <c:numCache>
                <c:formatCode>General</c:formatCode>
                <c:ptCount val="31"/>
                <c:pt idx="0">
                  <c:v>299.99997763108735</c:v>
                </c:pt>
                <c:pt idx="1">
                  <c:v>293.33331096442066</c:v>
                </c:pt>
                <c:pt idx="2">
                  <c:v>286.6666443611611</c:v>
                </c:pt>
                <c:pt idx="3">
                  <c:v>279.99997782112894</c:v>
                </c:pt>
                <c:pt idx="4">
                  <c:v>273.33331134396514</c:v>
                </c:pt>
                <c:pt idx="5">
                  <c:v>266.66664492913264</c:v>
                </c:pt>
                <c:pt idx="6">
                  <c:v>259.99997857591751</c:v>
                </c:pt>
                <c:pt idx="7">
                  <c:v>253.3333122834313</c:v>
                </c:pt>
                <c:pt idx="8">
                  <c:v>246.66664605061328</c:v>
                </c:pt>
                <c:pt idx="9">
                  <c:v>239.99997987623377</c:v>
                </c:pt>
                <c:pt idx="10">
                  <c:v>233.33331375889719</c:v>
                </c:pt>
                <c:pt idx="11">
                  <c:v>226.66664769704656</c:v>
                </c:pt>
                <c:pt idx="12">
                  <c:v>219.9999816889673</c:v>
                </c:pt>
                <c:pt idx="13">
                  <c:v>213.33331573279273</c:v>
                </c:pt>
                <c:pt idx="14">
                  <c:v>206.66664982650872</c:v>
                </c:pt>
                <c:pt idx="15">
                  <c:v>199.99998396796005</c:v>
                </c:pt>
                <c:pt idx="16">
                  <c:v>193.33331815485587</c:v>
                </c:pt>
                <c:pt idx="17">
                  <c:v>186.6666523847768</c:v>
                </c:pt>
                <c:pt idx="18">
                  <c:v>179.99998665518126</c:v>
                </c:pt>
                <c:pt idx="19">
                  <c:v>173.33332096341309</c:v>
                </c:pt>
                <c:pt idx="20">
                  <c:v>166.66665530670878</c:v>
                </c:pt>
                <c:pt idx="21">
                  <c:v>159.9999896822055</c:v>
                </c:pt>
                <c:pt idx="22">
                  <c:v>153.33332408694912</c:v>
                </c:pt>
                <c:pt idx="23">
                  <c:v>146.66665851790265</c:v>
                </c:pt>
                <c:pt idx="24">
                  <c:v>139.99999297195473</c:v>
                </c:pt>
                <c:pt idx="25">
                  <c:v>133.33332744592857</c:v>
                </c:pt>
                <c:pt idx="26">
                  <c:v>126.66666193659087</c:v>
                </c:pt>
                <c:pt idx="27">
                  <c:v>119.99999644066111</c:v>
                </c:pt>
                <c:pt idx="28">
                  <c:v>113.3333309548207</c:v>
                </c:pt>
                <c:pt idx="29">
                  <c:v>106.66666547572241</c:v>
                </c:pt>
                <c:pt idx="30">
                  <c:v>100</c:v>
                </c:pt>
              </c:numCache>
            </c:numRef>
          </c:yVal>
          <c:smooth val="1"/>
        </c:ser>
        <c:axId val="134423680"/>
        <c:axId val="109696896"/>
      </c:scatterChart>
      <c:valAx>
        <c:axId val="134423680"/>
        <c:scaling>
          <c:orientation val="minMax"/>
        </c:scaling>
        <c:axPos val="b"/>
        <c:numFmt formatCode="0.000" sourceLinked="1"/>
        <c:tickLblPos val="nextTo"/>
        <c:crossAx val="109696896"/>
        <c:crosses val="autoZero"/>
        <c:crossBetween val="midCat"/>
      </c:valAx>
      <c:valAx>
        <c:axId val="109696896"/>
        <c:scaling>
          <c:orientation val="minMax"/>
        </c:scaling>
        <c:axPos val="l"/>
        <c:majorGridlines/>
        <c:numFmt formatCode="General" sourceLinked="1"/>
        <c:tickLblPos val="nextTo"/>
        <c:crossAx val="13442368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scatterChart>
        <c:scatterStyle val="smoothMarker"/>
        <c:ser>
          <c:idx val="0"/>
          <c:order val="0"/>
          <c:marker>
            <c:symbol val="none"/>
          </c:marker>
          <c:xVal>
            <c:numRef>
              <c:f>Лист3!$F$11:$AJ$11</c:f>
              <c:numCache>
                <c:formatCode>0.000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Лист3!$F$12:$AJ$12</c:f>
              <c:numCache>
                <c:formatCode>General</c:formatCode>
                <c:ptCount val="31"/>
                <c:pt idx="0">
                  <c:v>299.99999963774331</c:v>
                </c:pt>
                <c:pt idx="1">
                  <c:v>293.33333296705155</c:v>
                </c:pt>
                <c:pt idx="2">
                  <c:v>286.66666629765496</c:v>
                </c:pt>
                <c:pt idx="3">
                  <c:v>279.99999962956315</c:v>
                </c:pt>
                <c:pt idx="4">
                  <c:v>273.33333296278124</c:v>
                </c:pt>
                <c:pt idx="5">
                  <c:v>266.66666629730958</c:v>
                </c:pt>
                <c:pt idx="6">
                  <c:v>259.99999963314394</c:v>
                </c:pt>
                <c:pt idx="7">
                  <c:v>253.33333297027553</c:v>
                </c:pt>
                <c:pt idx="8">
                  <c:v>246.66666630869076</c:v>
                </c:pt>
                <c:pt idx="9">
                  <c:v>239.99999964837195</c:v>
                </c:pt>
                <c:pt idx="10">
                  <c:v>233.33333298929631</c:v>
                </c:pt>
                <c:pt idx="11">
                  <c:v>226.66666633143734</c:v>
                </c:pt>
                <c:pt idx="12">
                  <c:v>219.9999996747635</c:v>
                </c:pt>
                <c:pt idx="13">
                  <c:v>213.33333301923994</c:v>
                </c:pt>
                <c:pt idx="14">
                  <c:v>206.66666636482677</c:v>
                </c:pt>
                <c:pt idx="15">
                  <c:v>199.99999971148111</c:v>
                </c:pt>
                <c:pt idx="16">
                  <c:v>193.33333305915539</c:v>
                </c:pt>
                <c:pt idx="17">
                  <c:v>186.66666640779943</c:v>
                </c:pt>
                <c:pt idx="18">
                  <c:v>179.99999975735852</c:v>
                </c:pt>
                <c:pt idx="19">
                  <c:v>173.33333310777584</c:v>
                </c:pt>
                <c:pt idx="20">
                  <c:v>166.66666645899051</c:v>
                </c:pt>
                <c:pt idx="21">
                  <c:v>159.9999998109397</c:v>
                </c:pt>
                <c:pt idx="22">
                  <c:v>153.33333316355723</c:v>
                </c:pt>
                <c:pt idx="23">
                  <c:v>146.66666651677525</c:v>
                </c:pt>
                <c:pt idx="24">
                  <c:v>139.99999987052308</c:v>
                </c:pt>
                <c:pt idx="25">
                  <c:v>133.33333322472893</c:v>
                </c:pt>
                <c:pt idx="26">
                  <c:v>126.66666657931866</c:v>
                </c:pt>
                <c:pt idx="27">
                  <c:v>119.99999993421733</c:v>
                </c:pt>
                <c:pt idx="28">
                  <c:v>113.33333328934853</c:v>
                </c:pt>
                <c:pt idx="29">
                  <c:v>106.66666664463533</c:v>
                </c:pt>
                <c:pt idx="30">
                  <c:v>100</c:v>
                </c:pt>
              </c:numCache>
            </c:numRef>
          </c:yVal>
          <c:smooth val="1"/>
        </c:ser>
        <c:axId val="102171776"/>
        <c:axId val="100384128"/>
      </c:scatterChart>
      <c:valAx>
        <c:axId val="102171776"/>
        <c:scaling>
          <c:orientation val="minMax"/>
        </c:scaling>
        <c:axPos val="b"/>
        <c:numFmt formatCode="0.000" sourceLinked="1"/>
        <c:tickLblPos val="nextTo"/>
        <c:crossAx val="100384128"/>
        <c:crosses val="autoZero"/>
        <c:crossBetween val="midCat"/>
      </c:valAx>
      <c:valAx>
        <c:axId val="100384128"/>
        <c:scaling>
          <c:orientation val="minMax"/>
        </c:scaling>
        <c:axPos val="l"/>
        <c:majorGridlines/>
        <c:numFmt formatCode="General" sourceLinked="1"/>
        <c:tickLblPos val="nextTo"/>
        <c:crossAx val="10217177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15</xdr:row>
      <xdr:rowOff>151007</xdr:rowOff>
    </xdr:from>
    <xdr:to>
      <xdr:col>23</xdr:col>
      <xdr:colOff>116159</xdr:colOff>
      <xdr:row>30</xdr:row>
      <xdr:rowOff>104543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476251</xdr:colOff>
      <xdr:row>17</xdr:row>
      <xdr:rowOff>35719</xdr:rowOff>
    </xdr:from>
    <xdr:to>
      <xdr:col>24</xdr:col>
      <xdr:colOff>190501</xdr:colOff>
      <xdr:row>31</xdr:row>
      <xdr:rowOff>107156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123825</xdr:colOff>
      <xdr:row>16</xdr:row>
      <xdr:rowOff>19050</xdr:rowOff>
    </xdr:from>
    <xdr:to>
      <xdr:col>16</xdr:col>
      <xdr:colOff>428625</xdr:colOff>
      <xdr:row>30</xdr:row>
      <xdr:rowOff>95250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B2:AJ14"/>
  <sheetViews>
    <sheetView zoomScale="82" zoomScaleNormal="82" workbookViewId="0">
      <selection activeCell="F12" sqref="F12"/>
    </sheetView>
  </sheetViews>
  <sheetFormatPr defaultRowHeight="15"/>
  <cols>
    <col min="5" max="5" width="2" bestFit="1" customWidth="1"/>
    <col min="6" max="6" width="5.5703125" bestFit="1" customWidth="1"/>
    <col min="7" max="7" width="6.42578125" bestFit="1" customWidth="1"/>
    <col min="8" max="36" width="5.5703125" bestFit="1" customWidth="1"/>
  </cols>
  <sheetData>
    <row r="2" spans="2:36">
      <c r="B2" t="s">
        <v>0</v>
      </c>
      <c r="C2">
        <v>0.1</v>
      </c>
    </row>
    <row r="3" spans="2:36">
      <c r="B3" t="s">
        <v>1</v>
      </c>
      <c r="C3">
        <f>C2/30</f>
        <v>3.3333333333333335E-3</v>
      </c>
    </row>
    <row r="4" spans="2:36">
      <c r="B4" t="s">
        <v>2</v>
      </c>
      <c r="C4">
        <f>(C8*C7*C3^2)/(2*C9)</f>
        <v>0.4333333333333334</v>
      </c>
    </row>
    <row r="5" spans="2:36">
      <c r="B5" t="s">
        <v>3</v>
      </c>
      <c r="C5">
        <v>60</v>
      </c>
      <c r="D5">
        <v>60.233333333333341</v>
      </c>
    </row>
    <row r="7" spans="2:36">
      <c r="B7" t="s">
        <v>4</v>
      </c>
      <c r="C7">
        <v>460</v>
      </c>
    </row>
    <row r="8" spans="2:36">
      <c r="B8" t="s">
        <v>5</v>
      </c>
      <c r="C8">
        <v>7800</v>
      </c>
    </row>
    <row r="9" spans="2:36">
      <c r="B9" t="s">
        <v>6</v>
      </c>
      <c r="C9">
        <v>46</v>
      </c>
    </row>
    <row r="10" spans="2:36">
      <c r="F10">
        <v>1</v>
      </c>
      <c r="G10">
        <v>2</v>
      </c>
      <c r="H10">
        <v>3</v>
      </c>
      <c r="I10">
        <v>4</v>
      </c>
      <c r="J10">
        <v>5</v>
      </c>
      <c r="K10">
        <v>6</v>
      </c>
      <c r="L10">
        <v>7</v>
      </c>
      <c r="M10">
        <v>8</v>
      </c>
      <c r="N10">
        <v>9</v>
      </c>
      <c r="O10">
        <v>10</v>
      </c>
      <c r="P10">
        <v>11</v>
      </c>
      <c r="Q10">
        <v>12</v>
      </c>
      <c r="R10">
        <v>13</v>
      </c>
      <c r="S10">
        <v>14</v>
      </c>
      <c r="T10">
        <v>15</v>
      </c>
      <c r="U10">
        <v>16</v>
      </c>
      <c r="V10">
        <v>17</v>
      </c>
      <c r="W10">
        <v>18</v>
      </c>
      <c r="X10">
        <v>19</v>
      </c>
      <c r="Y10">
        <v>20</v>
      </c>
      <c r="Z10">
        <v>21</v>
      </c>
      <c r="AA10">
        <v>22</v>
      </c>
      <c r="AB10">
        <v>23</v>
      </c>
      <c r="AC10">
        <v>24</v>
      </c>
      <c r="AD10">
        <v>25</v>
      </c>
      <c r="AE10">
        <v>26</v>
      </c>
      <c r="AF10">
        <v>27</v>
      </c>
      <c r="AG10">
        <v>28</v>
      </c>
      <c r="AH10">
        <v>29</v>
      </c>
      <c r="AI10">
        <v>30</v>
      </c>
      <c r="AJ10">
        <v>31</v>
      </c>
    </row>
    <row r="11" spans="2:36">
      <c r="B11" t="s">
        <v>8</v>
      </c>
      <c r="C11">
        <v>300</v>
      </c>
      <c r="E11" t="s">
        <v>0</v>
      </c>
      <c r="F11" s="1">
        <v>0</v>
      </c>
      <c r="G11" s="1">
        <f>F11+$C$3</f>
        <v>3.3333333333333335E-3</v>
      </c>
      <c r="H11" s="1">
        <f>G11+$C$3</f>
        <v>6.6666666666666671E-3</v>
      </c>
      <c r="I11" s="1">
        <f t="shared" ref="I11:AJ11" si="0">H11+$C$3</f>
        <v>0.01</v>
      </c>
      <c r="J11" s="1">
        <f t="shared" si="0"/>
        <v>1.3333333333333334E-2</v>
      </c>
      <c r="K11" s="1">
        <f t="shared" si="0"/>
        <v>1.6666666666666666E-2</v>
      </c>
      <c r="L11" s="1">
        <f t="shared" si="0"/>
        <v>0.02</v>
      </c>
      <c r="M11" s="1">
        <f t="shared" si="0"/>
        <v>2.3333333333333334E-2</v>
      </c>
      <c r="N11" s="1">
        <f t="shared" si="0"/>
        <v>2.6666666666666668E-2</v>
      </c>
      <c r="O11" s="1">
        <f t="shared" si="0"/>
        <v>3.0000000000000002E-2</v>
      </c>
      <c r="P11" s="1">
        <f t="shared" si="0"/>
        <v>3.3333333333333333E-2</v>
      </c>
      <c r="Q11" s="1">
        <f t="shared" si="0"/>
        <v>3.6666666666666667E-2</v>
      </c>
      <c r="R11" s="1">
        <f t="shared" si="0"/>
        <v>0.04</v>
      </c>
      <c r="S11" s="1">
        <f t="shared" si="0"/>
        <v>4.3333333333333335E-2</v>
      </c>
      <c r="T11" s="1">
        <f t="shared" si="0"/>
        <v>4.6666666666666669E-2</v>
      </c>
      <c r="U11" s="1">
        <f t="shared" si="0"/>
        <v>0.05</v>
      </c>
      <c r="V11" s="1">
        <f t="shared" si="0"/>
        <v>5.3333333333333337E-2</v>
      </c>
      <c r="W11" s="1">
        <f t="shared" si="0"/>
        <v>5.6666666666666671E-2</v>
      </c>
      <c r="X11" s="1">
        <f t="shared" si="0"/>
        <v>6.0000000000000005E-2</v>
      </c>
      <c r="Y11" s="1">
        <f t="shared" si="0"/>
        <v>6.3333333333333339E-2</v>
      </c>
      <c r="Z11" s="1">
        <f t="shared" si="0"/>
        <v>6.6666666666666666E-2</v>
      </c>
      <c r="AA11" s="1">
        <f t="shared" si="0"/>
        <v>6.9999999999999993E-2</v>
      </c>
      <c r="AB11" s="1">
        <f t="shared" si="0"/>
        <v>7.333333333333332E-2</v>
      </c>
      <c r="AC11" s="1">
        <f t="shared" si="0"/>
        <v>7.6666666666666647E-2</v>
      </c>
      <c r="AD11" s="1">
        <f t="shared" si="0"/>
        <v>7.9999999999999974E-2</v>
      </c>
      <c r="AE11" s="1">
        <f t="shared" si="0"/>
        <v>8.3333333333333301E-2</v>
      </c>
      <c r="AF11" s="1">
        <f t="shared" si="0"/>
        <v>8.6666666666666628E-2</v>
      </c>
      <c r="AG11" s="1">
        <f t="shared" si="0"/>
        <v>8.9999999999999955E-2</v>
      </c>
      <c r="AH11" s="1">
        <f t="shared" si="0"/>
        <v>9.3333333333333282E-2</v>
      </c>
      <c r="AI11" s="1">
        <f t="shared" si="0"/>
        <v>9.6666666666666609E-2</v>
      </c>
      <c r="AJ11" s="1">
        <f t="shared" si="0"/>
        <v>9.9999999999999936E-2</v>
      </c>
    </row>
    <row r="12" spans="2:36">
      <c r="B12" t="s">
        <v>9</v>
      </c>
      <c r="C12">
        <v>100</v>
      </c>
      <c r="E12" t="s">
        <v>7</v>
      </c>
      <c r="F12">
        <f>C11</f>
        <v>300</v>
      </c>
      <c r="G12">
        <v>280.34602914679897</v>
      </c>
      <c r="H12">
        <v>261.01895071136693</v>
      </c>
      <c r="I12">
        <v>241.69187227593488</v>
      </c>
      <c r="J12">
        <v>223.32288929753321</v>
      </c>
      <c r="K12">
        <v>204.95390631913145</v>
      </c>
      <c r="L12">
        <v>188.10922208123708</v>
      </c>
      <c r="M12">
        <v>171.26453784334268</v>
      </c>
      <c r="N12">
        <v>156.41062560854434</v>
      </c>
      <c r="O12">
        <v>141.55671337374596</v>
      </c>
      <c r="P12">
        <v>129.0367150615379</v>
      </c>
      <c r="Q12">
        <v>116.51671674932982</v>
      </c>
      <c r="R12">
        <v>106.53935305104244</v>
      </c>
      <c r="S12">
        <v>96.561989352755049</v>
      </c>
      <c r="T12">
        <v>89.202264063403447</v>
      </c>
      <c r="U12">
        <v>81.842538774051832</v>
      </c>
      <c r="V12">
        <v>77.051862944328036</v>
      </c>
      <c r="W12">
        <v>72.26118711460424</v>
      </c>
      <c r="X12">
        <v>69.883647818529624</v>
      </c>
      <c r="Y12">
        <v>67.506108522455037</v>
      </c>
      <c r="Z12">
        <v>67.297535274227698</v>
      </c>
      <c r="AA12">
        <v>67.088962026000345</v>
      </c>
      <c r="AB12">
        <v>68.736044613043219</v>
      </c>
      <c r="AC12">
        <v>70.383127200086093</v>
      </c>
      <c r="AD12">
        <v>73.520809538578931</v>
      </c>
      <c r="AE12">
        <v>76.658491877071754</v>
      </c>
      <c r="AF12">
        <v>80.884877873958871</v>
      </c>
      <c r="AG12">
        <v>85.111263870845988</v>
      </c>
      <c r="AH12">
        <v>90.000074948392268</v>
      </c>
      <c r="AI12">
        <v>94.888886025938547</v>
      </c>
      <c r="AJ12">
        <f>C12</f>
        <v>100</v>
      </c>
    </row>
    <row r="14" spans="2:36">
      <c r="B14" t="s">
        <v>10</v>
      </c>
      <c r="G14">
        <f>G12+(($C$9*$C$4)/($C$8*$C$7))*((H12-2*G12+F12)/($C$3^2))</f>
        <v>280.50947535568343</v>
      </c>
      <c r="H14">
        <f t="shared" ref="H14:AJ14" si="1">H12+(($C$9*$C$4)/($C$8*$C$7))*((I12-2*H12+G12)/($C$3^2))</f>
        <v>261.01895071136693</v>
      </c>
      <c r="I14">
        <f t="shared" si="1"/>
        <v>242.17092000445007</v>
      </c>
      <c r="J14">
        <f t="shared" si="1"/>
        <v>223.32288929753315</v>
      </c>
      <c r="K14">
        <f t="shared" si="1"/>
        <v>205.71605568938514</v>
      </c>
      <c r="L14">
        <f t="shared" si="1"/>
        <v>188.10922208123708</v>
      </c>
      <c r="M14">
        <f t="shared" si="1"/>
        <v>172.25992384489069</v>
      </c>
      <c r="N14">
        <f t="shared" si="1"/>
        <v>156.41062560854431</v>
      </c>
      <c r="O14">
        <f t="shared" si="1"/>
        <v>142.72367033504111</v>
      </c>
      <c r="P14">
        <f t="shared" si="1"/>
        <v>129.0367150615379</v>
      </c>
      <c r="Q14">
        <f t="shared" si="1"/>
        <v>117.78803405629017</v>
      </c>
      <c r="R14">
        <f t="shared" si="1"/>
        <v>106.53935305104244</v>
      </c>
      <c r="S14">
        <f t="shared" si="1"/>
        <v>97.870808557222944</v>
      </c>
      <c r="T14">
        <f t="shared" si="1"/>
        <v>89.202264063403447</v>
      </c>
      <c r="U14">
        <f t="shared" si="1"/>
        <v>83.127063503865742</v>
      </c>
      <c r="V14">
        <f t="shared" si="1"/>
        <v>77.051862944328036</v>
      </c>
      <c r="W14">
        <f t="shared" si="1"/>
        <v>73.46775538142883</v>
      </c>
      <c r="X14">
        <f t="shared" si="1"/>
        <v>69.883647818529639</v>
      </c>
      <c r="Y14">
        <f t="shared" si="1"/>
        <v>68.590591546378661</v>
      </c>
      <c r="Z14">
        <f t="shared" si="1"/>
        <v>67.297535274227698</v>
      </c>
      <c r="AA14">
        <f t="shared" si="1"/>
        <v>68.016789943635459</v>
      </c>
      <c r="AB14">
        <f t="shared" si="1"/>
        <v>68.736044613043219</v>
      </c>
      <c r="AC14">
        <f t="shared" si="1"/>
        <v>71.128427075811075</v>
      </c>
      <c r="AD14">
        <f t="shared" si="1"/>
        <v>73.520809538578931</v>
      </c>
      <c r="AE14">
        <f t="shared" si="1"/>
        <v>77.202843706268908</v>
      </c>
      <c r="AF14">
        <f t="shared" si="1"/>
        <v>80.884877873958871</v>
      </c>
      <c r="AG14">
        <f t="shared" si="1"/>
        <v>85.442476411175562</v>
      </c>
      <c r="AH14">
        <f t="shared" si="1"/>
        <v>90.000074948392268</v>
      </c>
      <c r="AI14">
        <f t="shared" si="1"/>
        <v>95.000037474196134</v>
      </c>
      <c r="AJ14">
        <f t="shared" si="1"/>
        <v>47.44444301296928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B2:AJ15"/>
  <sheetViews>
    <sheetView topLeftCell="N1" zoomScale="80" zoomScaleNormal="80" workbookViewId="0">
      <selection activeCell="A2" sqref="A2:AK15"/>
    </sheetView>
  </sheetViews>
  <sheetFormatPr defaultRowHeight="15"/>
  <sheetData>
    <row r="2" spans="2:36">
      <c r="B2" t="s">
        <v>0</v>
      </c>
      <c r="C2">
        <v>0.1</v>
      </c>
    </row>
    <row r="3" spans="2:36">
      <c r="B3" t="s">
        <v>1</v>
      </c>
      <c r="C3">
        <f>C2/30</f>
        <v>3.3333333333333335E-3</v>
      </c>
    </row>
    <row r="4" spans="2:36">
      <c r="B4" t="s">
        <v>2</v>
      </c>
      <c r="C4">
        <f>(C8*C7*C3^2)/(2*C9)</f>
        <v>0.4333333333333334</v>
      </c>
    </row>
    <row r="5" spans="2:36">
      <c r="B5" t="s">
        <v>3</v>
      </c>
      <c r="C5">
        <v>5000</v>
      </c>
      <c r="D5">
        <v>5000.2333333333345</v>
      </c>
    </row>
    <row r="7" spans="2:36">
      <c r="B7" t="s">
        <v>4</v>
      </c>
      <c r="C7">
        <v>460</v>
      </c>
    </row>
    <row r="8" spans="2:36">
      <c r="B8" t="s">
        <v>5</v>
      </c>
      <c r="C8">
        <v>7800</v>
      </c>
    </row>
    <row r="9" spans="2:36">
      <c r="B9" t="s">
        <v>6</v>
      </c>
      <c r="C9">
        <v>46</v>
      </c>
    </row>
    <row r="11" spans="2:36">
      <c r="E11" t="s">
        <v>0</v>
      </c>
      <c r="F11" s="1">
        <v>0</v>
      </c>
      <c r="G11" s="1">
        <f>F11+$C$3</f>
        <v>3.3333333333333335E-3</v>
      </c>
      <c r="H11" s="1">
        <f>G11+$C$3</f>
        <v>6.6666666666666671E-3</v>
      </c>
      <c r="I11" s="1">
        <f t="shared" ref="I11:AJ11" si="0">H11+$C$3</f>
        <v>0.01</v>
      </c>
      <c r="J11" s="1">
        <f t="shared" si="0"/>
        <v>1.3333333333333334E-2</v>
      </c>
      <c r="K11" s="1">
        <f t="shared" si="0"/>
        <v>1.6666666666666666E-2</v>
      </c>
      <c r="L11" s="1">
        <f t="shared" si="0"/>
        <v>0.02</v>
      </c>
      <c r="M11" s="1">
        <f t="shared" si="0"/>
        <v>2.3333333333333334E-2</v>
      </c>
      <c r="N11" s="1">
        <f t="shared" si="0"/>
        <v>2.6666666666666668E-2</v>
      </c>
      <c r="O11" s="1">
        <f t="shared" si="0"/>
        <v>3.0000000000000002E-2</v>
      </c>
      <c r="P11" s="1">
        <f t="shared" si="0"/>
        <v>3.3333333333333333E-2</v>
      </c>
      <c r="Q11" s="1">
        <f t="shared" si="0"/>
        <v>3.6666666666666667E-2</v>
      </c>
      <c r="R11" s="1">
        <f t="shared" si="0"/>
        <v>0.04</v>
      </c>
      <c r="S11" s="1">
        <f t="shared" si="0"/>
        <v>4.3333333333333335E-2</v>
      </c>
      <c r="T11" s="1">
        <f t="shared" si="0"/>
        <v>4.6666666666666669E-2</v>
      </c>
      <c r="U11" s="1">
        <f t="shared" si="0"/>
        <v>0.05</v>
      </c>
      <c r="V11" s="1">
        <f t="shared" si="0"/>
        <v>5.3333333333333337E-2</v>
      </c>
      <c r="W11" s="1">
        <f t="shared" si="0"/>
        <v>5.6666666666666671E-2</v>
      </c>
      <c r="X11" s="1">
        <f t="shared" si="0"/>
        <v>6.0000000000000005E-2</v>
      </c>
      <c r="Y11" s="1">
        <f t="shared" si="0"/>
        <v>6.3333333333333339E-2</v>
      </c>
      <c r="Z11" s="1">
        <f t="shared" si="0"/>
        <v>6.6666666666666666E-2</v>
      </c>
      <c r="AA11" s="1">
        <f t="shared" si="0"/>
        <v>6.9999999999999993E-2</v>
      </c>
      <c r="AB11" s="1">
        <f t="shared" si="0"/>
        <v>7.333333333333332E-2</v>
      </c>
      <c r="AC11" s="1">
        <f t="shared" si="0"/>
        <v>7.6666666666666647E-2</v>
      </c>
      <c r="AD11" s="1">
        <f t="shared" si="0"/>
        <v>7.9999999999999974E-2</v>
      </c>
      <c r="AE11" s="1">
        <f t="shared" si="0"/>
        <v>8.3333333333333301E-2</v>
      </c>
      <c r="AF11" s="1">
        <f t="shared" si="0"/>
        <v>8.6666666666666628E-2</v>
      </c>
      <c r="AG11" s="1">
        <f t="shared" si="0"/>
        <v>8.9999999999999955E-2</v>
      </c>
      <c r="AH11" s="1">
        <f t="shared" si="0"/>
        <v>9.3333333333333282E-2</v>
      </c>
      <c r="AI11" s="1">
        <f t="shared" si="0"/>
        <v>9.6666666666666609E-2</v>
      </c>
      <c r="AJ11" s="1">
        <f t="shared" si="0"/>
        <v>9.9999999999999936E-2</v>
      </c>
    </row>
    <row r="12" spans="2:36">
      <c r="B12" t="s">
        <v>9</v>
      </c>
      <c r="C12">
        <v>100</v>
      </c>
      <c r="E12" t="s">
        <v>7</v>
      </c>
      <c r="F12">
        <f>(F15/C9)*C3+G12</f>
        <v>299.99997763108735</v>
      </c>
      <c r="G12">
        <v>293.33331096442066</v>
      </c>
      <c r="H12">
        <v>286.6666443611611</v>
      </c>
      <c r="I12">
        <v>279.99997782112894</v>
      </c>
      <c r="J12">
        <v>273.33331134396514</v>
      </c>
      <c r="K12">
        <v>266.66664492913264</v>
      </c>
      <c r="L12">
        <v>259.99997857591751</v>
      </c>
      <c r="M12">
        <v>253.3333122834313</v>
      </c>
      <c r="N12">
        <v>246.66664605061328</v>
      </c>
      <c r="O12">
        <v>239.99997987623377</v>
      </c>
      <c r="P12">
        <v>233.33331375889719</v>
      </c>
      <c r="Q12">
        <v>226.66664769704656</v>
      </c>
      <c r="R12">
        <v>219.9999816889673</v>
      </c>
      <c r="S12">
        <v>213.33331573279273</v>
      </c>
      <c r="T12">
        <v>206.66664982650872</v>
      </c>
      <c r="U12">
        <v>199.99998396796005</v>
      </c>
      <c r="V12">
        <v>193.33331815485587</v>
      </c>
      <c r="W12">
        <v>186.6666523847768</v>
      </c>
      <c r="X12">
        <v>179.99998665518126</v>
      </c>
      <c r="Y12">
        <v>173.33332096341309</v>
      </c>
      <c r="Z12">
        <v>166.66665530670878</v>
      </c>
      <c r="AA12">
        <v>159.9999896822055</v>
      </c>
      <c r="AB12">
        <v>153.33332408694912</v>
      </c>
      <c r="AC12">
        <v>146.66665851790265</v>
      </c>
      <c r="AD12">
        <v>139.99999297195473</v>
      </c>
      <c r="AE12">
        <v>133.33332744592857</v>
      </c>
      <c r="AF12">
        <v>126.66666193659087</v>
      </c>
      <c r="AG12">
        <v>119.99999644066111</v>
      </c>
      <c r="AH12">
        <v>113.3333309548207</v>
      </c>
      <c r="AI12">
        <v>106.66666547572241</v>
      </c>
      <c r="AJ12">
        <v>100</v>
      </c>
    </row>
    <row r="13" spans="2:36">
      <c r="L13" s="2"/>
    </row>
    <row r="14" spans="2:36">
      <c r="B14" t="s">
        <v>10</v>
      </c>
      <c r="G14">
        <f>G12+(($C$9*$C$4)/($C$8*$C$7))*((H12-2*G12+F12)/($C$3^2))</f>
        <v>293.33331099612423</v>
      </c>
      <c r="H14">
        <f t="shared" ref="H14:AJ14" si="1">H12+(($C$9*$C$4)/($C$8*$C$7))*((I12-2*H12+G12)/($C$3^2))</f>
        <v>286.6666443927748</v>
      </c>
      <c r="I14">
        <f t="shared" si="1"/>
        <v>279.99997785256312</v>
      </c>
      <c r="J14">
        <f t="shared" si="1"/>
        <v>273.33331137513079</v>
      </c>
      <c r="K14">
        <f t="shared" si="1"/>
        <v>266.66664495994132</v>
      </c>
      <c r="L14">
        <f t="shared" si="1"/>
        <v>259.99997860628196</v>
      </c>
      <c r="M14">
        <f t="shared" si="1"/>
        <v>253.3333123132654</v>
      </c>
      <c r="N14">
        <f t="shared" si="1"/>
        <v>246.66664607983253</v>
      </c>
      <c r="O14">
        <f t="shared" si="1"/>
        <v>239.99997990475524</v>
      </c>
      <c r="P14">
        <f t="shared" si="1"/>
        <v>233.33331378664016</v>
      </c>
      <c r="Q14">
        <f t="shared" si="1"/>
        <v>226.66664772393224</v>
      </c>
      <c r="R14">
        <f t="shared" si="1"/>
        <v>219.99998171491964</v>
      </c>
      <c r="S14">
        <f t="shared" si="1"/>
        <v>213.33331575773801</v>
      </c>
      <c r="T14">
        <f t="shared" si="1"/>
        <v>206.66664985037639</v>
      </c>
      <c r="U14">
        <f t="shared" si="1"/>
        <v>199.9999839906823</v>
      </c>
      <c r="V14">
        <f t="shared" si="1"/>
        <v>193.33331817636844</v>
      </c>
      <c r="W14">
        <f t="shared" si="1"/>
        <v>186.66665240501857</v>
      </c>
      <c r="X14">
        <f t="shared" si="1"/>
        <v>179.99998667409494</v>
      </c>
      <c r="Y14">
        <f t="shared" si="1"/>
        <v>173.33332098094502</v>
      </c>
      <c r="Z14">
        <f t="shared" si="1"/>
        <v>166.66665532280928</v>
      </c>
      <c r="AA14">
        <f t="shared" si="1"/>
        <v>159.99998969682895</v>
      </c>
      <c r="AB14">
        <f t="shared" si="1"/>
        <v>153.33332410005409</v>
      </c>
      <c r="AC14">
        <f t="shared" si="1"/>
        <v>146.66665852945192</v>
      </c>
      <c r="AD14">
        <f t="shared" si="1"/>
        <v>139.99999298191563</v>
      </c>
      <c r="AE14">
        <f t="shared" si="1"/>
        <v>133.33332745427279</v>
      </c>
      <c r="AF14">
        <f t="shared" si="1"/>
        <v>126.66666194329484</v>
      </c>
      <c r="AG14">
        <f t="shared" si="1"/>
        <v>119.99999644570579</v>
      </c>
      <c r="AH14">
        <f t="shared" si="1"/>
        <v>113.33333095819177</v>
      </c>
      <c r="AI14">
        <f t="shared" si="1"/>
        <v>106.66666547741035</v>
      </c>
    </row>
    <row r="15" spans="2:36">
      <c r="E15" t="s">
        <v>11</v>
      </c>
      <c r="F15">
        <v>92000</v>
      </c>
      <c r="G15">
        <f>(-$C$9*(G12-F12))/$C$3</f>
        <v>92000.000000000262</v>
      </c>
      <c r="H15">
        <f t="shared" ref="H15:AJ15" si="2">(-$C$9*(H12-G12))/$C$3</f>
        <v>91999.999124981885</v>
      </c>
      <c r="I15">
        <f t="shared" si="2"/>
        <v>91999.998252443911</v>
      </c>
      <c r="J15">
        <f t="shared" si="2"/>
        <v>91999.997384860457</v>
      </c>
      <c r="K15">
        <f t="shared" si="2"/>
        <v>91999.99652468838</v>
      </c>
      <c r="L15">
        <f t="shared" si="2"/>
        <v>91999.995674368853</v>
      </c>
      <c r="M15">
        <f t="shared" si="2"/>
        <v>91999.994836309721</v>
      </c>
      <c r="N15">
        <f t="shared" si="2"/>
        <v>91999.994012888623</v>
      </c>
      <c r="O15">
        <f t="shared" si="2"/>
        <v>91999.993206437299</v>
      </c>
      <c r="P15">
        <f t="shared" si="2"/>
        <v>91999.992419244736</v>
      </c>
      <c r="Q15">
        <f t="shared" si="2"/>
        <v>91999.991653538746</v>
      </c>
      <c r="R15">
        <f t="shared" si="2"/>
        <v>91999.990911493791</v>
      </c>
      <c r="S15">
        <f t="shared" si="2"/>
        <v>91999.990195209044</v>
      </c>
      <c r="T15">
        <f t="shared" si="2"/>
        <v>91999.989506719328</v>
      </c>
      <c r="U15">
        <f t="shared" si="2"/>
        <v>91999.988847971617</v>
      </c>
      <c r="V15">
        <f t="shared" si="2"/>
        <v>91999.988220837593</v>
      </c>
      <c r="W15">
        <f t="shared" si="2"/>
        <v>91999.987627091265</v>
      </c>
      <c r="X15">
        <f t="shared" si="2"/>
        <v>91999.987068418399</v>
      </c>
      <c r="Y15">
        <f t="shared" si="2"/>
        <v>91999.986546400789</v>
      </c>
      <c r="Z15">
        <f t="shared" si="2"/>
        <v>91999.986062519485</v>
      </c>
      <c r="AA15">
        <f t="shared" si="2"/>
        <v>91999.985618145278</v>
      </c>
      <c r="AB15">
        <f t="shared" si="2"/>
        <v>91999.985214537985</v>
      </c>
      <c r="AC15">
        <f t="shared" si="2"/>
        <v>91999.984852841313</v>
      </c>
      <c r="AD15">
        <f t="shared" si="2"/>
        <v>91999.984534081319</v>
      </c>
      <c r="AE15">
        <f t="shared" si="2"/>
        <v>91999.984259160876</v>
      </c>
      <c r="AF15">
        <f t="shared" si="2"/>
        <v>91999.98402886033</v>
      </c>
      <c r="AG15">
        <f t="shared" si="2"/>
        <v>91999.983843830734</v>
      </c>
      <c r="AH15">
        <f t="shared" si="2"/>
        <v>91999.983704597675</v>
      </c>
      <c r="AI15">
        <f t="shared" si="2"/>
        <v>91999.983611556308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B2:AJ15"/>
  <sheetViews>
    <sheetView topLeftCell="T1" workbookViewId="0">
      <selection activeCell="A2" sqref="A2:AJ15"/>
    </sheetView>
  </sheetViews>
  <sheetFormatPr defaultRowHeight="15"/>
  <sheetData>
    <row r="2" spans="2:36">
      <c r="B2" t="s">
        <v>0</v>
      </c>
      <c r="C2">
        <v>0.1</v>
      </c>
    </row>
    <row r="3" spans="2:36">
      <c r="B3" t="s">
        <v>1</v>
      </c>
      <c r="C3">
        <f>C2/30</f>
        <v>3.3333333333333335E-3</v>
      </c>
    </row>
    <row r="4" spans="2:36">
      <c r="B4" t="s">
        <v>2</v>
      </c>
      <c r="C4">
        <f>(C8*C7*C3^2)/(2*C9)</f>
        <v>0.4333333333333334</v>
      </c>
    </row>
    <row r="5" spans="2:36">
      <c r="B5" t="s">
        <v>3</v>
      </c>
      <c r="C5">
        <v>5000</v>
      </c>
      <c r="D5">
        <v>5000.2333333333345</v>
      </c>
    </row>
    <row r="7" spans="2:36">
      <c r="B7" t="s">
        <v>4</v>
      </c>
      <c r="C7">
        <v>460</v>
      </c>
    </row>
    <row r="8" spans="2:36">
      <c r="B8" t="s">
        <v>5</v>
      </c>
      <c r="C8">
        <v>7800</v>
      </c>
    </row>
    <row r="9" spans="2:36">
      <c r="B9" t="s">
        <v>6</v>
      </c>
      <c r="C9">
        <v>46</v>
      </c>
    </row>
    <row r="11" spans="2:36">
      <c r="B11" t="s">
        <v>12</v>
      </c>
      <c r="C11">
        <v>900</v>
      </c>
      <c r="E11" t="s">
        <v>0</v>
      </c>
      <c r="F11" s="1">
        <v>0</v>
      </c>
      <c r="G11" s="1">
        <f>F11+$C$3</f>
        <v>3.3333333333333335E-3</v>
      </c>
      <c r="H11" s="1">
        <f>G11+$C$3</f>
        <v>6.6666666666666671E-3</v>
      </c>
      <c r="I11" s="1">
        <f t="shared" ref="I11:AJ11" si="0">H11+$C$3</f>
        <v>0.01</v>
      </c>
      <c r="J11" s="1">
        <f t="shared" si="0"/>
        <v>1.3333333333333334E-2</v>
      </c>
      <c r="K11" s="1">
        <f t="shared" si="0"/>
        <v>1.6666666666666666E-2</v>
      </c>
      <c r="L11" s="1">
        <f t="shared" si="0"/>
        <v>0.02</v>
      </c>
      <c r="M11" s="1">
        <f t="shared" si="0"/>
        <v>2.3333333333333334E-2</v>
      </c>
      <c r="N11" s="1">
        <f t="shared" si="0"/>
        <v>2.6666666666666668E-2</v>
      </c>
      <c r="O11" s="1">
        <f t="shared" si="0"/>
        <v>3.0000000000000002E-2</v>
      </c>
      <c r="P11" s="1">
        <f t="shared" si="0"/>
        <v>3.3333333333333333E-2</v>
      </c>
      <c r="Q11" s="1">
        <f t="shared" si="0"/>
        <v>3.6666666666666667E-2</v>
      </c>
      <c r="R11" s="1">
        <f t="shared" si="0"/>
        <v>0.04</v>
      </c>
      <c r="S11" s="1">
        <f t="shared" si="0"/>
        <v>4.3333333333333335E-2</v>
      </c>
      <c r="T11" s="1">
        <f t="shared" si="0"/>
        <v>4.6666666666666669E-2</v>
      </c>
      <c r="U11" s="1">
        <f t="shared" si="0"/>
        <v>0.05</v>
      </c>
      <c r="V11" s="1">
        <f t="shared" si="0"/>
        <v>5.3333333333333337E-2</v>
      </c>
      <c r="W11" s="1">
        <f t="shared" si="0"/>
        <v>5.6666666666666671E-2</v>
      </c>
      <c r="X11" s="1">
        <f t="shared" si="0"/>
        <v>6.0000000000000005E-2</v>
      </c>
      <c r="Y11" s="1">
        <f t="shared" si="0"/>
        <v>6.3333333333333339E-2</v>
      </c>
      <c r="Z11" s="1">
        <f t="shared" si="0"/>
        <v>6.6666666666666666E-2</v>
      </c>
      <c r="AA11" s="1">
        <f t="shared" si="0"/>
        <v>6.9999999999999993E-2</v>
      </c>
      <c r="AB11" s="1">
        <f t="shared" si="0"/>
        <v>7.333333333333332E-2</v>
      </c>
      <c r="AC11" s="1">
        <f t="shared" si="0"/>
        <v>7.6666666666666647E-2</v>
      </c>
      <c r="AD11" s="1">
        <f t="shared" si="0"/>
        <v>7.9999999999999974E-2</v>
      </c>
      <c r="AE11" s="1">
        <f t="shared" si="0"/>
        <v>8.3333333333333301E-2</v>
      </c>
      <c r="AF11" s="1">
        <f t="shared" si="0"/>
        <v>8.6666666666666628E-2</v>
      </c>
      <c r="AG11" s="1">
        <f t="shared" si="0"/>
        <v>8.9999999999999955E-2</v>
      </c>
      <c r="AH11" s="1">
        <f t="shared" si="0"/>
        <v>9.3333333333333282E-2</v>
      </c>
      <c r="AI11" s="1">
        <f t="shared" si="0"/>
        <v>9.6666666666666609E-2</v>
      </c>
      <c r="AJ11" s="1">
        <f t="shared" si="0"/>
        <v>9.9999999999999936E-2</v>
      </c>
    </row>
    <row r="12" spans="2:36">
      <c r="B12" t="s">
        <v>9</v>
      </c>
      <c r="C12">
        <v>100</v>
      </c>
      <c r="E12" t="s">
        <v>7</v>
      </c>
      <c r="F12">
        <f>(C$15*C$11*C$3+C$9*G12)/(C$15*C$3+C$9)</f>
        <v>299.99999963774331</v>
      </c>
      <c r="G12">
        <v>293.33333296705155</v>
      </c>
      <c r="H12">
        <v>286.66666629765496</v>
      </c>
      <c r="I12">
        <v>279.99999962956315</v>
      </c>
      <c r="J12">
        <v>273.33333296278124</v>
      </c>
      <c r="K12">
        <v>266.66666629730958</v>
      </c>
      <c r="L12">
        <v>259.99999963314394</v>
      </c>
      <c r="M12">
        <v>253.33333297027553</v>
      </c>
      <c r="N12">
        <v>246.66666630869076</v>
      </c>
      <c r="O12">
        <v>239.99999964837195</v>
      </c>
      <c r="P12">
        <v>233.33333298929631</v>
      </c>
      <c r="Q12">
        <v>226.66666633143734</v>
      </c>
      <c r="R12">
        <v>219.9999996747635</v>
      </c>
      <c r="S12">
        <v>213.33333301923994</v>
      </c>
      <c r="T12">
        <v>206.66666636482677</v>
      </c>
      <c r="U12">
        <v>199.99999971148111</v>
      </c>
      <c r="V12">
        <v>193.33333305915539</v>
      </c>
      <c r="W12">
        <v>186.66666640779943</v>
      </c>
      <c r="X12">
        <v>179.99999975735852</v>
      </c>
      <c r="Y12">
        <v>173.33333310777584</v>
      </c>
      <c r="Z12">
        <v>166.66666645899051</v>
      </c>
      <c r="AA12">
        <v>159.9999998109397</v>
      </c>
      <c r="AB12">
        <v>153.33333316355723</v>
      </c>
      <c r="AC12">
        <v>146.66666651677525</v>
      </c>
      <c r="AD12">
        <v>139.99999987052308</v>
      </c>
      <c r="AE12">
        <v>133.33333322472893</v>
      </c>
      <c r="AF12">
        <v>126.66666657931866</v>
      </c>
      <c r="AG12">
        <v>119.99999993421733</v>
      </c>
      <c r="AH12">
        <v>113.33333328934853</v>
      </c>
      <c r="AI12">
        <v>106.66666664463533</v>
      </c>
      <c r="AJ12">
        <v>100</v>
      </c>
    </row>
    <row r="13" spans="2:36">
      <c r="B13" t="s">
        <v>8</v>
      </c>
      <c r="C13">
        <v>300</v>
      </c>
      <c r="L13" s="2"/>
    </row>
    <row r="14" spans="2:36">
      <c r="B14" t="s">
        <v>10</v>
      </c>
      <c r="G14">
        <f>G12+(($C$9*$C$4)/($C$8*$C$7))*((H12-2*G12+F12)/($C$3^2))</f>
        <v>293.33333296769911</v>
      </c>
      <c r="H14">
        <f t="shared" ref="H14:AI14" si="1">H12+(($C$9*$C$4)/($C$8*$C$7))*((I12-2*H12+G12)/($C$3^2))</f>
        <v>286.66666629830735</v>
      </c>
      <c r="I14">
        <f t="shared" si="1"/>
        <v>279.9999996302181</v>
      </c>
      <c r="J14">
        <f t="shared" si="1"/>
        <v>273.33333296343636</v>
      </c>
      <c r="K14">
        <f t="shared" si="1"/>
        <v>266.66666629796259</v>
      </c>
      <c r="L14">
        <f t="shared" si="1"/>
        <v>259.99999963379253</v>
      </c>
      <c r="M14">
        <f t="shared" si="1"/>
        <v>253.33333297091735</v>
      </c>
      <c r="N14">
        <f t="shared" si="1"/>
        <v>246.66666630932374</v>
      </c>
      <c r="O14">
        <f t="shared" si="1"/>
        <v>239.99999964899354</v>
      </c>
      <c r="P14">
        <f t="shared" si="1"/>
        <v>233.33333298990465</v>
      </c>
      <c r="Q14">
        <f t="shared" si="1"/>
        <v>226.66666633202991</v>
      </c>
      <c r="R14">
        <f t="shared" si="1"/>
        <v>219.99999967533864</v>
      </c>
      <c r="S14">
        <f t="shared" si="1"/>
        <v>213.33333301979513</v>
      </c>
      <c r="T14">
        <f t="shared" si="1"/>
        <v>206.66666636536053</v>
      </c>
      <c r="U14">
        <f t="shared" si="1"/>
        <v>199.99999971199108</v>
      </c>
      <c r="V14">
        <f t="shared" si="1"/>
        <v>193.33333305964027</v>
      </c>
      <c r="W14">
        <f t="shared" si="1"/>
        <v>186.66666640825696</v>
      </c>
      <c r="X14">
        <f t="shared" si="1"/>
        <v>179.99999975778763</v>
      </c>
      <c r="Y14">
        <f t="shared" si="1"/>
        <v>173.33333310817451</v>
      </c>
      <c r="Z14">
        <f t="shared" si="1"/>
        <v>166.66666645935777</v>
      </c>
      <c r="AA14">
        <f t="shared" si="1"/>
        <v>159.99999981127388</v>
      </c>
      <c r="AB14">
        <f t="shared" si="1"/>
        <v>153.33333316385747</v>
      </c>
      <c r="AC14">
        <f t="shared" si="1"/>
        <v>146.66666651704014</v>
      </c>
      <c r="AD14">
        <f t="shared" si="1"/>
        <v>139.99999987075211</v>
      </c>
      <c r="AE14">
        <f t="shared" si="1"/>
        <v>133.33333322492086</v>
      </c>
      <c r="AF14">
        <f t="shared" si="1"/>
        <v>126.66666657947313</v>
      </c>
      <c r="AG14">
        <f t="shared" si="1"/>
        <v>119.9999999343336</v>
      </c>
      <c r="AH14">
        <f t="shared" si="1"/>
        <v>113.33333328942632</v>
      </c>
      <c r="AI14">
        <f t="shared" si="1"/>
        <v>106.66666664467427</v>
      </c>
    </row>
    <row r="15" spans="2:36">
      <c r="B15" t="s">
        <v>13</v>
      </c>
      <c r="C15">
        <f>920/6</f>
        <v>153.33333333333334</v>
      </c>
      <c r="E15" t="s">
        <v>11</v>
      </c>
      <c r="F15">
        <v>92000</v>
      </c>
      <c r="G15">
        <f>(-$C$9*(G12-F12))/$C$3</f>
        <v>92000.000055546392</v>
      </c>
      <c r="H15">
        <f t="shared" ref="H15:AJ15" si="2">(-$C$9*(H12-G12))/$C$3</f>
        <v>92000.000037672944</v>
      </c>
      <c r="I15">
        <f t="shared" si="2"/>
        <v>92000.000019666928</v>
      </c>
      <c r="J15">
        <f t="shared" si="2"/>
        <v>92000.000001590321</v>
      </c>
      <c r="K15">
        <f t="shared" si="2"/>
        <v>91999.999983508984</v>
      </c>
      <c r="L15">
        <f t="shared" si="2"/>
        <v>91999.999965485709</v>
      </c>
      <c r="M15">
        <f t="shared" si="2"/>
        <v>91999.99994758403</v>
      </c>
      <c r="N15">
        <f t="shared" si="2"/>
        <v>91999.999929869824</v>
      </c>
      <c r="O15">
        <f t="shared" si="2"/>
        <v>91999.99991239958</v>
      </c>
      <c r="P15">
        <f t="shared" si="2"/>
        <v>91999.999895243891</v>
      </c>
      <c r="Q15">
        <f t="shared" si="2"/>
        <v>91999.99987845376</v>
      </c>
      <c r="R15">
        <f t="shared" si="2"/>
        <v>91999.999862098979</v>
      </c>
      <c r="S15">
        <f t="shared" si="2"/>
        <v>91999.999846225081</v>
      </c>
      <c r="T15">
        <f t="shared" si="2"/>
        <v>91999.999830901841</v>
      </c>
      <c r="U15">
        <f t="shared" si="2"/>
        <v>91999.999816170079</v>
      </c>
      <c r="V15">
        <f t="shared" si="2"/>
        <v>91999.999802094884</v>
      </c>
      <c r="W15">
        <f t="shared" si="2"/>
        <v>91999.999788712346</v>
      </c>
      <c r="X15">
        <f t="shared" si="2"/>
        <v>91999.999776084442</v>
      </c>
      <c r="Y15">
        <f t="shared" si="2"/>
        <v>91999.999764240987</v>
      </c>
      <c r="Z15">
        <f t="shared" si="2"/>
        <v>91999.999753237658</v>
      </c>
      <c r="AA15">
        <f t="shared" si="2"/>
        <v>91999.999743101129</v>
      </c>
      <c r="AB15">
        <f t="shared" si="2"/>
        <v>91999.999733878081</v>
      </c>
      <c r="AC15">
        <f t="shared" si="2"/>
        <v>91999.999725591275</v>
      </c>
      <c r="AD15">
        <f t="shared" si="2"/>
        <v>91999.999718279912</v>
      </c>
      <c r="AE15">
        <f t="shared" si="2"/>
        <v>91999.999711959288</v>
      </c>
      <c r="AF15">
        <f t="shared" si="2"/>
        <v>91999.99970666178</v>
      </c>
      <c r="AG15">
        <f t="shared" si="2"/>
        <v>91999.99970239836</v>
      </c>
      <c r="AH15">
        <f t="shared" si="2"/>
        <v>91999.9996991894</v>
      </c>
      <c r="AI15">
        <f t="shared" si="2"/>
        <v>91999.999697042207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B2:AJ16"/>
  <sheetViews>
    <sheetView tabSelected="1" topLeftCell="A4" workbookViewId="0">
      <selection activeCell="I13" sqref="I13"/>
    </sheetView>
  </sheetViews>
  <sheetFormatPr defaultRowHeight="15"/>
  <sheetData>
    <row r="2" spans="2:36">
      <c r="B2" t="s">
        <v>0</v>
      </c>
      <c r="C2">
        <v>0.1</v>
      </c>
    </row>
    <row r="3" spans="2:36">
      <c r="B3" t="s">
        <v>1</v>
      </c>
      <c r="C3">
        <f>C2/30</f>
        <v>3.3333333333333335E-3</v>
      </c>
    </row>
    <row r="4" spans="2:36">
      <c r="B4" t="s">
        <v>2</v>
      </c>
      <c r="C4">
        <f>(C8*C7*C3^2)/(2*C9)</f>
        <v>0.4333333333333334</v>
      </c>
    </row>
    <row r="5" spans="2:36">
      <c r="B5" t="s">
        <v>3</v>
      </c>
      <c r="C5">
        <v>1000</v>
      </c>
      <c r="D5">
        <v>1000.1333333333334</v>
      </c>
    </row>
    <row r="7" spans="2:36">
      <c r="B7" t="s">
        <v>4</v>
      </c>
      <c r="C7">
        <v>460</v>
      </c>
    </row>
    <row r="8" spans="2:36">
      <c r="B8" t="s">
        <v>5</v>
      </c>
      <c r="C8">
        <v>7800</v>
      </c>
    </row>
    <row r="9" spans="2:36">
      <c r="B9" t="s">
        <v>6</v>
      </c>
      <c r="C9">
        <v>46</v>
      </c>
    </row>
    <row r="11" spans="2:36">
      <c r="B11" t="s">
        <v>12</v>
      </c>
      <c r="C11">
        <v>900</v>
      </c>
      <c r="E11" t="s">
        <v>0</v>
      </c>
      <c r="F11" s="1">
        <v>0</v>
      </c>
      <c r="G11" s="1">
        <f>F11+$C$3</f>
        <v>3.3333333333333335E-3</v>
      </c>
      <c r="H11" s="1">
        <f>G11+$C$3</f>
        <v>6.6666666666666671E-3</v>
      </c>
      <c r="I11" s="1">
        <f t="shared" ref="I11:AJ11" si="0">H11+$C$3</f>
        <v>0.01</v>
      </c>
      <c r="J11" s="1">
        <f t="shared" si="0"/>
        <v>1.3333333333333334E-2</v>
      </c>
      <c r="K11" s="1">
        <f t="shared" si="0"/>
        <v>1.6666666666666666E-2</v>
      </c>
      <c r="L11" s="1">
        <f t="shared" si="0"/>
        <v>0.02</v>
      </c>
      <c r="M11" s="1">
        <f t="shared" si="0"/>
        <v>2.3333333333333334E-2</v>
      </c>
      <c r="N11" s="1">
        <f t="shared" si="0"/>
        <v>2.6666666666666668E-2</v>
      </c>
      <c r="O11" s="1">
        <f t="shared" si="0"/>
        <v>3.0000000000000002E-2</v>
      </c>
      <c r="P11" s="1">
        <f t="shared" si="0"/>
        <v>3.3333333333333333E-2</v>
      </c>
      <c r="Q11" s="1">
        <f t="shared" si="0"/>
        <v>3.6666666666666667E-2</v>
      </c>
      <c r="R11" s="1">
        <f t="shared" si="0"/>
        <v>0.04</v>
      </c>
      <c r="S11" s="1">
        <f t="shared" si="0"/>
        <v>4.3333333333333335E-2</v>
      </c>
      <c r="T11" s="1">
        <f t="shared" si="0"/>
        <v>4.6666666666666669E-2</v>
      </c>
      <c r="U11" s="1">
        <f t="shared" si="0"/>
        <v>0.05</v>
      </c>
      <c r="V11" s="1">
        <f t="shared" si="0"/>
        <v>5.3333333333333337E-2</v>
      </c>
      <c r="W11" s="1">
        <f t="shared" si="0"/>
        <v>5.6666666666666671E-2</v>
      </c>
      <c r="X11" s="1">
        <f t="shared" si="0"/>
        <v>6.0000000000000005E-2</v>
      </c>
      <c r="Y11" s="1">
        <f t="shared" si="0"/>
        <v>6.3333333333333339E-2</v>
      </c>
      <c r="Z11" s="1">
        <f t="shared" si="0"/>
        <v>6.6666666666666666E-2</v>
      </c>
      <c r="AA11" s="1">
        <f t="shared" si="0"/>
        <v>6.9999999999999993E-2</v>
      </c>
      <c r="AB11" s="1">
        <f t="shared" si="0"/>
        <v>7.333333333333332E-2</v>
      </c>
      <c r="AC11" s="1">
        <f t="shared" si="0"/>
        <v>7.6666666666666647E-2</v>
      </c>
      <c r="AD11" s="1">
        <f t="shared" si="0"/>
        <v>7.9999999999999974E-2</v>
      </c>
      <c r="AE11" s="1">
        <f t="shared" si="0"/>
        <v>8.3333333333333301E-2</v>
      </c>
      <c r="AF11" s="1">
        <f t="shared" si="0"/>
        <v>8.6666666666666628E-2</v>
      </c>
      <c r="AG11" s="1">
        <f t="shared" si="0"/>
        <v>8.9999999999999955E-2</v>
      </c>
      <c r="AH11" s="1">
        <f t="shared" si="0"/>
        <v>9.3333333333333282E-2</v>
      </c>
      <c r="AI11" s="1">
        <f t="shared" si="0"/>
        <v>9.6666666666666609E-2</v>
      </c>
      <c r="AJ11" s="1">
        <f t="shared" si="0"/>
        <v>9.9999999999999936E-2</v>
      </c>
    </row>
    <row r="12" spans="2:36">
      <c r="B12" t="s">
        <v>9</v>
      </c>
      <c r="C12">
        <v>100</v>
      </c>
      <c r="E12" t="s">
        <v>7</v>
      </c>
      <c r="F12">
        <f>C13</f>
        <v>300</v>
      </c>
      <c r="G12">
        <v>293.333292487802</v>
      </c>
      <c r="H12">
        <v>286.66657968867855</v>
      </c>
      <c r="I12">
        <v>279.99987924855151</v>
      </c>
      <c r="J12">
        <v>273.33316317871265</v>
      </c>
      <c r="K12">
        <v>266.66647128671877</v>
      </c>
      <c r="L12">
        <v>259.99975410532005</v>
      </c>
      <c r="M12">
        <v>253.33307186392733</v>
      </c>
      <c r="N12">
        <v>246.66635577870491</v>
      </c>
      <c r="O12">
        <v>239.99968386860365</v>
      </c>
      <c r="P12">
        <v>233.33297103938551</v>
      </c>
      <c r="Q12">
        <v>226.66630968973894</v>
      </c>
      <c r="R12">
        <v>219.99960213405012</v>
      </c>
      <c r="S12">
        <v>213.3329511124789</v>
      </c>
      <c r="T12">
        <v>206.6662506173659</v>
      </c>
      <c r="U12">
        <v>199.99960924010429</v>
      </c>
      <c r="V12">
        <v>193.33291728403256</v>
      </c>
      <c r="W12">
        <v>186.66628444581221</v>
      </c>
      <c r="X12">
        <v>179.99960213405009</v>
      </c>
      <c r="Y12">
        <v>173.3329763564056</v>
      </c>
      <c r="Z12">
        <v>166.6663043727188</v>
      </c>
      <c r="AA12">
        <v>159.99968386860368</v>
      </c>
      <c r="AB12">
        <v>153.33302244537151</v>
      </c>
      <c r="AC12">
        <v>146.66640519726073</v>
      </c>
      <c r="AD12">
        <v>139.99975410531999</v>
      </c>
      <c r="AE12">
        <v>133.33313795338549</v>
      </c>
      <c r="AF12">
        <v>126.66649651204588</v>
      </c>
      <c r="AG12">
        <v>119.99987924855151</v>
      </c>
      <c r="AH12">
        <v>113.33324635534522</v>
      </c>
      <c r="AI12">
        <v>106.66662582113526</v>
      </c>
      <c r="AJ12">
        <v>100</v>
      </c>
    </row>
    <row r="13" spans="2:36">
      <c r="B13" t="s">
        <v>8</v>
      </c>
      <c r="C13">
        <v>300</v>
      </c>
      <c r="L13" s="2"/>
    </row>
    <row r="14" spans="2:36">
      <c r="B14" t="s">
        <v>10</v>
      </c>
      <c r="G14">
        <f>G12+(($C$9*$C$4)/($C$8*$C$7))*((H12-2*G12+F12)/($C$3^2))</f>
        <v>293.33328984433928</v>
      </c>
      <c r="H14">
        <f t="shared" ref="H14:AI14" si="1">H12+(($C$9*$C$4)/($C$8*$C$7))*((I12-2*H12+G12)/($C$3^2))</f>
        <v>286.66658586817675</v>
      </c>
      <c r="I14">
        <f t="shared" si="1"/>
        <v>279.9998714336956</v>
      </c>
      <c r="J14">
        <f t="shared" si="1"/>
        <v>273.33317526763517</v>
      </c>
      <c r="K14">
        <f t="shared" si="1"/>
        <v>266.66645864201632</v>
      </c>
      <c r="L14">
        <f t="shared" si="1"/>
        <v>259.99977157532305</v>
      </c>
      <c r="M14">
        <f t="shared" si="1"/>
        <v>253.33305494201247</v>
      </c>
      <c r="N14">
        <f t="shared" si="1"/>
        <v>246.66637786626549</v>
      </c>
      <c r="O14">
        <f t="shared" si="1"/>
        <v>239.99966340904521</v>
      </c>
      <c r="P14">
        <f t="shared" si="1"/>
        <v>233.33299677917131</v>
      </c>
      <c r="Q14">
        <f t="shared" si="1"/>
        <v>226.66628658671783</v>
      </c>
      <c r="R14">
        <f t="shared" si="1"/>
        <v>219.9996304011089</v>
      </c>
      <c r="S14">
        <f t="shared" si="1"/>
        <v>213.33292637570801</v>
      </c>
      <c r="T14">
        <f t="shared" si="1"/>
        <v>206.66628017629159</v>
      </c>
      <c r="U14">
        <f t="shared" si="1"/>
        <v>199.99958395069922</v>
      </c>
      <c r="V14">
        <f t="shared" si="1"/>
        <v>193.33294684295825</v>
      </c>
      <c r="W14">
        <f t="shared" si="1"/>
        <v>186.66625970904133</v>
      </c>
      <c r="X14">
        <f t="shared" si="1"/>
        <v>179.9996304011089</v>
      </c>
      <c r="Y14">
        <f t="shared" si="1"/>
        <v>173.33295325338446</v>
      </c>
      <c r="Z14">
        <f t="shared" si="1"/>
        <v>166.66633011250462</v>
      </c>
      <c r="AA14">
        <f t="shared" si="1"/>
        <v>159.99966340904516</v>
      </c>
      <c r="AB14">
        <f t="shared" si="1"/>
        <v>153.33304453293221</v>
      </c>
      <c r="AC14">
        <f t="shared" si="1"/>
        <v>146.66638827534575</v>
      </c>
      <c r="AD14">
        <f t="shared" si="1"/>
        <v>139.99977157532311</v>
      </c>
      <c r="AE14">
        <f t="shared" si="1"/>
        <v>133.33312530868295</v>
      </c>
      <c r="AF14">
        <f t="shared" si="1"/>
        <v>126.6665086009685</v>
      </c>
      <c r="AG14">
        <f t="shared" si="1"/>
        <v>119.99987143369555</v>
      </c>
      <c r="AH14">
        <f t="shared" si="1"/>
        <v>113.33325253484338</v>
      </c>
      <c r="AI14">
        <f t="shared" si="1"/>
        <v>106.66662317767262</v>
      </c>
    </row>
    <row r="15" spans="2:36">
      <c r="B15" t="s">
        <v>13</v>
      </c>
      <c r="C15">
        <f>920/6</f>
        <v>153.33333333333334</v>
      </c>
      <c r="E15" t="s">
        <v>11</v>
      </c>
      <c r="F15" t="s">
        <v>15</v>
      </c>
      <c r="G15">
        <f>(-$C$9*(G12-F12))/$C$3</f>
        <v>92000.563668332426</v>
      </c>
      <c r="H15">
        <f t="shared" ref="H15:AJ15" si="2">(-$C$9*(H12-G12))/$C$3</f>
        <v>92000.636627903543</v>
      </c>
      <c r="I15">
        <f t="shared" si="2"/>
        <v>92000.46607375321</v>
      </c>
      <c r="J15">
        <f t="shared" si="2"/>
        <v>92000.6817637762</v>
      </c>
      <c r="K15">
        <f t="shared" si="2"/>
        <v>92000.348109515515</v>
      </c>
      <c r="L15">
        <f t="shared" si="2"/>
        <v>92000.697103302387</v>
      </c>
      <c r="M15">
        <f t="shared" si="2"/>
        <v>92000.21493121954</v>
      </c>
      <c r="N15">
        <f t="shared" si="2"/>
        <v>92000.681976069376</v>
      </c>
      <c r="O15">
        <f t="shared" si="2"/>
        <v>92000.072359397353</v>
      </c>
      <c r="P15">
        <f t="shared" si="2"/>
        <v>92000.637043210343</v>
      </c>
      <c r="Q15">
        <f t="shared" si="2"/>
        <v>91999.926625122724</v>
      </c>
      <c r="R15">
        <f t="shared" si="2"/>
        <v>92000.564268505666</v>
      </c>
      <c r="S15">
        <f t="shared" si="2"/>
        <v>91999.784097682917</v>
      </c>
      <c r="T15">
        <f t="shared" si="2"/>
        <v>92000.466832559265</v>
      </c>
      <c r="U15">
        <f t="shared" si="2"/>
        <v>91999.651006210246</v>
      </c>
      <c r="V15">
        <f t="shared" si="2"/>
        <v>92000.34899378987</v>
      </c>
      <c r="W15">
        <f t="shared" si="2"/>
        <v>91999.533167440852</v>
      </c>
      <c r="X15">
        <f t="shared" si="2"/>
        <v>92000.215902317199</v>
      </c>
      <c r="Y15">
        <f t="shared" si="2"/>
        <v>91999.435731494072</v>
      </c>
      <c r="Z15">
        <f t="shared" si="2"/>
        <v>92000.073374877786</v>
      </c>
      <c r="AA15">
        <f t="shared" si="2"/>
        <v>91999.362956788595</v>
      </c>
      <c r="AB15">
        <f t="shared" si="2"/>
        <v>91999.927640603943</v>
      </c>
      <c r="AC15">
        <f t="shared" si="2"/>
        <v>91999.31802392879</v>
      </c>
      <c r="AD15">
        <f t="shared" si="2"/>
        <v>91999.785068782148</v>
      </c>
      <c r="AE15">
        <f t="shared" si="2"/>
        <v>91999.302896696172</v>
      </c>
      <c r="AF15">
        <f t="shared" si="2"/>
        <v>91999.651890486566</v>
      </c>
      <c r="AG15">
        <f t="shared" si="2"/>
        <v>91999.318236222345</v>
      </c>
      <c r="AH15">
        <f t="shared" si="2"/>
        <v>91999.533926246717</v>
      </c>
      <c r="AI15">
        <f t="shared" si="2"/>
        <v>91999.363372097549</v>
      </c>
    </row>
    <row r="16" spans="2:36">
      <c r="B16" t="s">
        <v>14</v>
      </c>
      <c r="C16">
        <v>210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Лист1</vt:lpstr>
      <vt:lpstr>Лист2</vt:lpstr>
      <vt:lpstr>Лист3</vt:lpstr>
      <vt:lpstr>Лист4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ДИМА</dc:creator>
  <cp:lastModifiedBy>ДИМА</cp:lastModifiedBy>
  <dcterms:created xsi:type="dcterms:W3CDTF">2021-02-19T09:41:52Z</dcterms:created>
  <dcterms:modified xsi:type="dcterms:W3CDTF">2021-03-03T14:53:55Z</dcterms:modified>
</cp:coreProperties>
</file>