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0" yWindow="0" windowWidth="23040" windowHeight="9528"/>
  </bookViews>
  <sheets>
    <sheet name="ro_const" sheetId="3" r:id="rId1"/>
    <sheet name="ro_var" sheetId="4" r:id="rId2"/>
  </sheets>
  <calcPr calcId="152511"/>
</workbook>
</file>

<file path=xl/calcChain.xml><?xml version="1.0" encoding="utf-8"?>
<calcChain xmlns="http://schemas.openxmlformats.org/spreadsheetml/2006/main">
  <c r="Q13" i="4" l="1"/>
  <c r="Q17" i="4" s="1"/>
  <c r="Q18" i="4" s="1"/>
  <c r="Q19" i="4" s="1"/>
  <c r="P13" i="4"/>
  <c r="P17" i="4" s="1"/>
  <c r="P18" i="4" s="1"/>
  <c r="P19" i="4" s="1"/>
  <c r="O13" i="4"/>
  <c r="O17" i="4" s="1"/>
  <c r="O18" i="4" s="1"/>
  <c r="O19" i="4" s="1"/>
  <c r="N13" i="4"/>
  <c r="N17" i="4" s="1"/>
  <c r="N18" i="4" s="1"/>
  <c r="N19" i="4" s="1"/>
  <c r="M13" i="4"/>
  <c r="M17" i="4" s="1"/>
  <c r="M18" i="4" s="1"/>
  <c r="M19" i="4" s="1"/>
  <c r="L13" i="4"/>
  <c r="L17" i="4" s="1"/>
  <c r="L18" i="4" s="1"/>
  <c r="L19" i="4" s="1"/>
  <c r="K13" i="4"/>
  <c r="K17" i="4" s="1"/>
  <c r="K18" i="4" s="1"/>
  <c r="K19" i="4" s="1"/>
  <c r="J13" i="4"/>
  <c r="J17" i="4" s="1"/>
  <c r="J18" i="4" s="1"/>
  <c r="J19" i="4" s="1"/>
  <c r="I13" i="4"/>
  <c r="I17" i="4" s="1"/>
  <c r="I18" i="4" s="1"/>
  <c r="I19" i="4" s="1"/>
  <c r="H13" i="4"/>
  <c r="H17" i="4" s="1"/>
  <c r="H18" i="4" s="1"/>
  <c r="H19" i="4" s="1"/>
  <c r="Q4" i="4"/>
  <c r="G4" i="4"/>
  <c r="H3" i="4"/>
  <c r="I3" i="4" s="1"/>
  <c r="C3" i="4"/>
  <c r="O20" i="4" l="1"/>
  <c r="O21" i="4" s="1"/>
  <c r="O22" i="4" s="1"/>
  <c r="K20" i="4"/>
  <c r="K21" i="4" s="1"/>
  <c r="K22" i="4" s="1"/>
  <c r="P20" i="4"/>
  <c r="P21" i="4" s="1"/>
  <c r="P22" i="4" s="1"/>
  <c r="L20" i="4"/>
  <c r="L21" i="4" s="1"/>
  <c r="L22" i="4" s="1"/>
  <c r="Q20" i="4"/>
  <c r="Q21" i="4" s="1"/>
  <c r="Q22" i="4" s="1"/>
  <c r="Q23" i="4" s="1"/>
  <c r="M20" i="4"/>
  <c r="M21" i="4" s="1"/>
  <c r="M22" i="4" s="1"/>
  <c r="I20" i="4"/>
  <c r="I21" i="4" s="1"/>
  <c r="I22" i="4" s="1"/>
  <c r="N20" i="4"/>
  <c r="N21" i="4" s="1"/>
  <c r="N22" i="4" s="1"/>
  <c r="J20" i="4"/>
  <c r="J21" i="4" s="1"/>
  <c r="J22" i="4" s="1"/>
  <c r="H20" i="4"/>
  <c r="H21" i="4" s="1"/>
  <c r="H22" i="4" s="1"/>
  <c r="Q10" i="4"/>
  <c r="Q15" i="4"/>
  <c r="I4" i="4"/>
  <c r="I10" i="4" s="1"/>
  <c r="J3" i="4"/>
  <c r="H4" i="4"/>
  <c r="H10" i="4" s="1"/>
  <c r="Q13" i="3"/>
  <c r="P13" i="3"/>
  <c r="O13" i="3"/>
  <c r="O17" i="3" s="1"/>
  <c r="O18" i="3" s="1"/>
  <c r="O19" i="3" s="1"/>
  <c r="N13" i="3"/>
  <c r="N17" i="3" s="1"/>
  <c r="N18" i="3" s="1"/>
  <c r="N19" i="3" s="1"/>
  <c r="M13" i="3"/>
  <c r="M17" i="3" s="1"/>
  <c r="M18" i="3" s="1"/>
  <c r="M19" i="3" s="1"/>
  <c r="L13" i="3"/>
  <c r="K13" i="3"/>
  <c r="K17" i="3" s="1"/>
  <c r="K18" i="3" s="1"/>
  <c r="J13" i="3"/>
  <c r="J17" i="3" s="1"/>
  <c r="J18" i="3" s="1"/>
  <c r="I13" i="3"/>
  <c r="H13" i="3"/>
  <c r="Q4" i="3"/>
  <c r="G4" i="3"/>
  <c r="H3" i="3"/>
  <c r="H4" i="3" s="1"/>
  <c r="C3" i="3"/>
  <c r="I3" i="3" l="1"/>
  <c r="G13" i="4"/>
  <c r="H11" i="4"/>
  <c r="K3" i="4"/>
  <c r="J4" i="4"/>
  <c r="J10" i="4" s="1"/>
  <c r="I11" i="4" s="1"/>
  <c r="I14" i="4" s="1"/>
  <c r="H10" i="3"/>
  <c r="Q10" i="3"/>
  <c r="L17" i="3"/>
  <c r="L18" i="3" s="1"/>
  <c r="L19" i="3" s="1"/>
  <c r="K19" i="3"/>
  <c r="H17" i="3"/>
  <c r="H18" i="3" s="1"/>
  <c r="H19" i="3" s="1"/>
  <c r="P17" i="3"/>
  <c r="P18" i="3" s="1"/>
  <c r="P19" i="3" s="1"/>
  <c r="J19" i="3"/>
  <c r="I17" i="3"/>
  <c r="I18" i="3" s="1"/>
  <c r="I19" i="3" s="1"/>
  <c r="Q17" i="3"/>
  <c r="Q18" i="3" s="1"/>
  <c r="Q19" i="3" s="1"/>
  <c r="G13" i="3"/>
  <c r="I15" i="4" l="1"/>
  <c r="I23" i="4"/>
  <c r="I4" i="3"/>
  <c r="I10" i="3" s="1"/>
  <c r="J3" i="3"/>
  <c r="G17" i="4"/>
  <c r="G20" i="4" s="1"/>
  <c r="G21" i="4" s="1"/>
  <c r="G22" i="4" s="1"/>
  <c r="H14" i="4"/>
  <c r="K4" i="4"/>
  <c r="K10" i="4" s="1"/>
  <c r="L3" i="4"/>
  <c r="G14" i="4"/>
  <c r="G10" i="4"/>
  <c r="G11" i="4" s="1"/>
  <c r="H11" i="3"/>
  <c r="H14" i="3" s="1"/>
  <c r="G17" i="3"/>
  <c r="G18" i="3" s="1"/>
  <c r="G19" i="3" s="1"/>
  <c r="G14" i="3"/>
  <c r="G10" i="3"/>
  <c r="G11" i="3" s="1"/>
  <c r="K3" i="3" l="1"/>
  <c r="J4" i="3"/>
  <c r="J10" i="3" s="1"/>
  <c r="H15" i="4"/>
  <c r="H23" i="4"/>
  <c r="G23" i="4"/>
  <c r="G18" i="4"/>
  <c r="G19" i="4" s="1"/>
  <c r="G15" i="4"/>
  <c r="M3" i="4"/>
  <c r="L4" i="4"/>
  <c r="L10" i="4" s="1"/>
  <c r="J11" i="4"/>
  <c r="J14" i="4" s="1"/>
  <c r="J15" i="4" l="1"/>
  <c r="J23" i="4"/>
  <c r="I11" i="3"/>
  <c r="I14" i="3" s="1"/>
  <c r="L3" i="3"/>
  <c r="K4" i="3"/>
  <c r="K10" i="3" s="1"/>
  <c r="J11" i="3" s="1"/>
  <c r="J14" i="3" s="1"/>
  <c r="K11" i="4"/>
  <c r="K14" i="4" s="1"/>
  <c r="M4" i="4"/>
  <c r="M10" i="4" s="1"/>
  <c r="N3" i="4"/>
  <c r="M3" i="3" l="1"/>
  <c r="L4" i="3"/>
  <c r="L10" i="3" s="1"/>
  <c r="K15" i="4"/>
  <c r="K23" i="4"/>
  <c r="O3" i="4"/>
  <c r="N4" i="4"/>
  <c r="N10" i="4" s="1"/>
  <c r="L11" i="4"/>
  <c r="L14" i="4" s="1"/>
  <c r="L15" i="4" l="1"/>
  <c r="L23" i="4"/>
  <c r="K11" i="3"/>
  <c r="K14" i="3" s="1"/>
  <c r="N3" i="3"/>
  <c r="M4" i="3"/>
  <c r="M10" i="3" s="1"/>
  <c r="M11" i="4"/>
  <c r="M14" i="4" s="1"/>
  <c r="O4" i="4"/>
  <c r="O10" i="4" s="1"/>
  <c r="P3" i="4"/>
  <c r="P4" i="4" s="1"/>
  <c r="P10" i="4" s="1"/>
  <c r="P11" i="4" s="1"/>
  <c r="P14" i="4" s="1"/>
  <c r="M15" i="4" l="1"/>
  <c r="M23" i="4"/>
  <c r="N4" i="3"/>
  <c r="N10" i="3" s="1"/>
  <c r="M11" i="3" s="1"/>
  <c r="M14" i="3" s="1"/>
  <c r="O3" i="3"/>
  <c r="L11" i="3"/>
  <c r="L14" i="3" s="1"/>
  <c r="P15" i="4"/>
  <c r="P23" i="4"/>
  <c r="O11" i="4"/>
  <c r="O14" i="4" s="1"/>
  <c r="N11" i="4"/>
  <c r="N14" i="4" s="1"/>
  <c r="P3" i="3" l="1"/>
  <c r="P4" i="3" s="1"/>
  <c r="P10" i="3" s="1"/>
  <c r="P11" i="3" s="1"/>
  <c r="P14" i="3" s="1"/>
  <c r="O4" i="3"/>
  <c r="O10" i="3" s="1"/>
  <c r="O11" i="3" s="1"/>
  <c r="O14" i="3" s="1"/>
  <c r="N11" i="3"/>
  <c r="N14" i="3" s="1"/>
  <c r="N15" i="4"/>
  <c r="N23" i="4"/>
  <c r="O15" i="4"/>
  <c r="O23" i="4"/>
</calcChain>
</file>

<file path=xl/sharedStrings.xml><?xml version="1.0" encoding="utf-8"?>
<sst xmlns="http://schemas.openxmlformats.org/spreadsheetml/2006/main" count="58" uniqueCount="25">
  <si>
    <t>U</t>
  </si>
  <si>
    <t>x</t>
  </si>
  <si>
    <t>p</t>
  </si>
  <si>
    <t>Cp</t>
  </si>
  <si>
    <t>L</t>
  </si>
  <si>
    <t>dx</t>
  </si>
  <si>
    <t>k</t>
  </si>
  <si>
    <t>R</t>
  </si>
  <si>
    <t>p*</t>
  </si>
  <si>
    <t>T*</t>
  </si>
  <si>
    <t>№</t>
  </si>
  <si>
    <t>A</t>
  </si>
  <si>
    <t>ro</t>
  </si>
  <si>
    <t>G</t>
  </si>
  <si>
    <t>dp</t>
  </si>
  <si>
    <t>T</t>
  </si>
  <si>
    <t>c</t>
  </si>
  <si>
    <t>M</t>
  </si>
  <si>
    <t>n</t>
  </si>
  <si>
    <t>U_3D</t>
  </si>
  <si>
    <t>P_3D</t>
  </si>
  <si>
    <t>G_3D</t>
  </si>
  <si>
    <t>Pi_lamda</t>
  </si>
  <si>
    <t>Tau_lambda</t>
  </si>
  <si>
    <t>lamda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</si>
</sst>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E+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2" borderId="1" xfId="0" applyFill="1" applyBorder="1"/>
    <xf numFmtId="164" fontId="0" fillId="0" borderId="1" xfId="0" applyNumberFormat="1" applyBorder="1"/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R</c:v>
          </c:tx>
          <c:marker>
            <c:symbol val="none"/>
          </c:marker>
          <c:xVal>
            <c:numRef>
              <c:f>ro_const!$G$2:$Q$2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ro_const!$G$3:$Q$3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795328"/>
        <c:axId val="1535795872"/>
      </c:scatterChart>
      <c:valAx>
        <c:axId val="1535795328"/>
        <c:scaling>
          <c:orientation val="minMax"/>
          <c:max val="0.1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35795872"/>
        <c:crosses val="autoZero"/>
        <c:crossBetween val="midCat"/>
        <c:majorUnit val="2.0000000000000007E-2"/>
        <c:minorUnit val="2.0000000000000007E-2"/>
      </c:valAx>
      <c:valAx>
        <c:axId val="1535795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57953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G</c:v>
          </c:tx>
          <c:marker>
            <c:symbol val="none"/>
          </c:marker>
          <c:xVal>
            <c:numRef>
              <c:f>ro_const!$G$2:$Q$2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ro_const!$G$10:$Q$10</c:f>
              <c:numCache>
                <c:formatCode>General</c:formatCode>
                <c:ptCount val="11"/>
                <c:pt idx="0">
                  <c:v>1.3682787647779824</c:v>
                </c:pt>
                <c:pt idx="1">
                  <c:v>1.36827882442879</c:v>
                </c:pt>
                <c:pt idx="2">
                  <c:v>1.3682820803669438</c:v>
                </c:pt>
                <c:pt idx="3">
                  <c:v>1.3682836720337868</c:v>
                </c:pt>
                <c:pt idx="4">
                  <c:v>1.3682838441009164</c:v>
                </c:pt>
                <c:pt idx="5">
                  <c:v>1.3682829279379569</c:v>
                </c:pt>
                <c:pt idx="6">
                  <c:v>1.3682813322262575</c:v>
                </c:pt>
                <c:pt idx="7">
                  <c:v>1.3682795116611988</c:v>
                </c:pt>
                <c:pt idx="8">
                  <c:v>1.3682779046576024</c:v>
                </c:pt>
                <c:pt idx="9">
                  <c:v>1.3682768365625788</c:v>
                </c:pt>
                <c:pt idx="10">
                  <c:v>1.3682764045479037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796416"/>
        <c:axId val="1332352592"/>
      </c:scatterChart>
      <c:valAx>
        <c:axId val="1535796416"/>
        <c:scaling>
          <c:orientation val="minMax"/>
          <c:max val="0.1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332352592"/>
        <c:crosses val="autoZero"/>
        <c:crossBetween val="midCat"/>
        <c:majorUnit val="2.0000000000000011E-2"/>
        <c:minorUnit val="2.0000000000000011E-2"/>
      </c:valAx>
      <c:valAx>
        <c:axId val="1332352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57964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v>P</c:v>
          </c:tx>
          <c:marker>
            <c:symbol val="none"/>
          </c:marker>
          <c:xVal>
            <c:numRef>
              <c:f>ro_const!$G$2:$Q$2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ro_const!$G$6:$Q$6</c:f>
              <c:numCache>
                <c:formatCode>General</c:formatCode>
                <c:ptCount val="11"/>
                <c:pt idx="0">
                  <c:v>133045.92559510819</c:v>
                </c:pt>
                <c:pt idx="1">
                  <c:v>132578.10225008882</c:v>
                </c:pt>
                <c:pt idx="2">
                  <c:v>131967.57223922404</c:v>
                </c:pt>
                <c:pt idx="3">
                  <c:v>131158.80072580537</c:v>
                </c:pt>
                <c:pt idx="4">
                  <c:v>130069.29144969466</c:v>
                </c:pt>
                <c:pt idx="5">
                  <c:v>128573.57835815659</c:v>
                </c:pt>
                <c:pt idx="6">
                  <c:v>126475.64059217712</c:v>
                </c:pt>
                <c:pt idx="7">
                  <c:v>123459.7040030183</c:v>
                </c:pt>
                <c:pt idx="8">
                  <c:v>118998.87147666248</c:v>
                </c:pt>
                <c:pt idx="9">
                  <c:v>112177.32730549212</c:v>
                </c:pt>
                <c:pt idx="10">
                  <c:v>101325</c:v>
                </c:pt>
              </c:numCache>
            </c:numRef>
          </c:yVal>
          <c:smooth val="1"/>
        </c:ser>
        <c:ser>
          <c:idx val="0"/>
          <c:order val="1"/>
          <c:tx>
            <c:v>p_3D</c:v>
          </c:tx>
          <c:marker>
            <c:symbol val="none"/>
          </c:marker>
          <c:xVal>
            <c:numRef>
              <c:f>ro_const!$M$23:$Q$23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ro_const!$M$25:$Q$25</c:f>
              <c:numCache>
                <c:formatCode>General</c:formatCode>
                <c:ptCount val="5"/>
                <c:pt idx="0">
                  <c:v>132552</c:v>
                </c:pt>
                <c:pt idx="1">
                  <c:v>131334</c:v>
                </c:pt>
                <c:pt idx="2">
                  <c:v>128213</c:v>
                </c:pt>
                <c:pt idx="3">
                  <c:v>120941</c:v>
                </c:pt>
                <c:pt idx="4">
                  <c:v>101336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94672"/>
        <c:axId val="1593891952"/>
      </c:scatterChart>
      <c:valAx>
        <c:axId val="1593894672"/>
        <c:scaling>
          <c:orientation val="minMax"/>
          <c:max val="0.1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93891952"/>
        <c:crosses val="autoZero"/>
        <c:crossBetween val="midCat"/>
        <c:majorUnit val="2.0000000000000011E-2"/>
        <c:minorUnit val="2.0000000000000011E-2"/>
      </c:valAx>
      <c:valAx>
        <c:axId val="1593891952"/>
        <c:scaling>
          <c:orientation val="minMax"/>
          <c:max val="140000"/>
          <c:min val="100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3894672"/>
        <c:crosses val="autoZero"/>
        <c:crossBetween val="midCat"/>
        <c:majorUnit val="10000"/>
        <c:minorUnit val="4000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ru-RU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U</c:v>
          </c:tx>
          <c:marker>
            <c:symbol val="none"/>
          </c:marker>
          <c:xVal>
            <c:numRef>
              <c:f>ro_const!$G$2:$Q$2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ro_const!$G$5:$Q$5</c:f>
              <c:numCache>
                <c:formatCode>General</c:formatCode>
                <c:ptCount val="11"/>
                <c:pt idx="0">
                  <c:v>57.428354261942211</c:v>
                </c:pt>
                <c:pt idx="1">
                  <c:v>63.63252829753516</c:v>
                </c:pt>
                <c:pt idx="2">
                  <c:v>70.899376180991425</c:v>
                </c:pt>
                <c:pt idx="3">
                  <c:v>79.48589954633249</c:v>
                </c:pt>
                <c:pt idx="4">
                  <c:v>89.732140969946968</c:v>
                </c:pt>
                <c:pt idx="5">
                  <c:v>102.09516808235826</c:v>
                </c:pt>
                <c:pt idx="6">
                  <c:v>117.20094920405842</c:v>
                </c:pt>
                <c:pt idx="7">
                  <c:v>135.9251800592366</c:v>
                </c:pt>
                <c:pt idx="8">
                  <c:v>159.52311370842742</c:v>
                </c:pt>
                <c:pt idx="9">
                  <c:v>189.84554028215078</c:v>
                </c:pt>
                <c:pt idx="10">
                  <c:v>229.71303086347018</c:v>
                </c:pt>
              </c:numCache>
            </c:numRef>
          </c:yVal>
          <c:smooth val="1"/>
        </c:ser>
        <c:ser>
          <c:idx val="0"/>
          <c:order val="1"/>
          <c:tx>
            <c:v>U_3D</c:v>
          </c:tx>
          <c:marker>
            <c:symbol val="none"/>
          </c:marker>
          <c:xVal>
            <c:numRef>
              <c:f>ro_const!$M$23:$Q$23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ro_const!$M$24:$Q$24</c:f>
              <c:numCache>
                <c:formatCode>General</c:formatCode>
                <c:ptCount val="5"/>
                <c:pt idx="0">
                  <c:v>62.6</c:v>
                </c:pt>
                <c:pt idx="1">
                  <c:v>78.260000000000005</c:v>
                </c:pt>
                <c:pt idx="2">
                  <c:v>106.77</c:v>
                </c:pt>
                <c:pt idx="3">
                  <c:v>153.75</c:v>
                </c:pt>
                <c:pt idx="4">
                  <c:v>238.13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99024"/>
        <c:axId val="1593899568"/>
      </c:scatterChart>
      <c:valAx>
        <c:axId val="1593899024"/>
        <c:scaling>
          <c:orientation val="minMax"/>
          <c:max val="0.1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93899568"/>
        <c:crosses val="autoZero"/>
        <c:crossBetween val="midCat"/>
        <c:majorUnit val="2.0000000000000011E-2"/>
        <c:minorUnit val="2.0000000000000011E-2"/>
      </c:valAx>
      <c:valAx>
        <c:axId val="1593899568"/>
        <c:scaling>
          <c:orientation val="minMax"/>
          <c:max val="25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3899024"/>
        <c:crosses val="autoZero"/>
        <c:crossBetween val="midCat"/>
        <c:majorUnit val="50"/>
        <c:minorUnit val="50"/>
      </c:valAx>
    </c:plotArea>
    <c:legend>
      <c:legendPos val="r"/>
      <c:layout>
        <c:manualLayout>
          <c:xMode val="edge"/>
          <c:yMode val="edge"/>
          <c:x val="0.8153858267716535"/>
          <c:y val="0.32889112860892389"/>
          <c:w val="0.18461417322834645"/>
          <c:h val="0.1928844094488188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9244051085822765"/>
          <c:y val="3.765127213865154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0726730117529"/>
          <c:y val="0.23708231017024814"/>
          <c:w val="0.66278474219716488"/>
          <c:h val="0.63892853542904238"/>
        </c:manualLayout>
      </c:layout>
      <c:scatterChart>
        <c:scatterStyle val="smoothMarker"/>
        <c:varyColors val="0"/>
        <c:ser>
          <c:idx val="1"/>
          <c:order val="0"/>
          <c:tx>
            <c:v>R</c:v>
          </c:tx>
          <c:marker>
            <c:symbol val="none"/>
          </c:marker>
          <c:xVal>
            <c:numRef>
              <c:f>ro_const!$G$2:$Q$2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ro_const!$G$3:$Q$3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900112"/>
        <c:axId val="1593901200"/>
      </c:scatterChart>
      <c:valAx>
        <c:axId val="1593900112"/>
        <c:scaling>
          <c:orientation val="minMax"/>
          <c:max val="0.1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93901200"/>
        <c:crosses val="autoZero"/>
        <c:crossBetween val="midCat"/>
        <c:majorUnit val="2.0000000000000011E-2"/>
        <c:minorUnit val="2.0000000000000011E-2"/>
      </c:valAx>
      <c:valAx>
        <c:axId val="159390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39001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G</c:v>
          </c:tx>
          <c:marker>
            <c:symbol val="none"/>
          </c:marker>
          <c:xVal>
            <c:numRef>
              <c:f>ro_const!$G$2:$Q$2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ro_var!$G$10:$Q$10</c:f>
              <c:numCache>
                <c:formatCode>General</c:formatCode>
                <c:ptCount val="11"/>
                <c:pt idx="0">
                  <c:v>1.3666349266745654</c:v>
                </c:pt>
                <c:pt idx="1">
                  <c:v>1.3666245661578389</c:v>
                </c:pt>
                <c:pt idx="2">
                  <c:v>1.3660630623338998</c:v>
                </c:pt>
                <c:pt idx="3">
                  <c:v>1.3658161555435284</c:v>
                </c:pt>
                <c:pt idx="4">
                  <c:v>1.365850409193168</c:v>
                </c:pt>
                <c:pt idx="5">
                  <c:v>1.3661160242791908</c:v>
                </c:pt>
                <c:pt idx="6">
                  <c:v>1.366545272772252</c:v>
                </c:pt>
                <c:pt idx="7">
                  <c:v>1.367053311205592</c:v>
                </c:pt>
                <c:pt idx="8">
                  <c:v>1.3675435168287973</c:v>
                </c:pt>
                <c:pt idx="9">
                  <c:v>1.367920357753643</c:v>
                </c:pt>
                <c:pt idx="10">
                  <c:v>1.368113277208034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96304"/>
        <c:axId val="1593903920"/>
      </c:scatterChart>
      <c:valAx>
        <c:axId val="1593896304"/>
        <c:scaling>
          <c:orientation val="minMax"/>
          <c:max val="0.1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93903920"/>
        <c:crosses val="autoZero"/>
        <c:crossBetween val="midCat"/>
        <c:majorUnit val="2.0000000000000011E-2"/>
        <c:minorUnit val="2.0000000000000011E-2"/>
      </c:valAx>
      <c:valAx>
        <c:axId val="1593903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38963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v>P</c:v>
          </c:tx>
          <c:marker>
            <c:symbol val="none"/>
          </c:marker>
          <c:xVal>
            <c:numRef>
              <c:f>ro_const!$G$2:$Q$2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ro_var!$G$14:$Q$14</c:f>
              <c:numCache>
                <c:formatCode>General</c:formatCode>
                <c:ptCount val="11"/>
                <c:pt idx="0">
                  <c:v>133574.24984701499</c:v>
                </c:pt>
                <c:pt idx="1">
                  <c:v>133226.33972583528</c:v>
                </c:pt>
                <c:pt idx="2">
                  <c:v>132771.18733003896</c:v>
                </c:pt>
                <c:pt idx="3">
                  <c:v>132161.66416123474</c:v>
                </c:pt>
                <c:pt idx="4">
                  <c:v>131328.85057460557</c:v>
                </c:pt>
                <c:pt idx="5">
                  <c:v>130163.54331053428</c:v>
                </c:pt>
                <c:pt idx="6">
                  <c:v>128484.81518498289</c:v>
                </c:pt>
                <c:pt idx="7">
                  <c:v>125974.28364766209</c:v>
                </c:pt>
                <c:pt idx="8">
                  <c:v>122019.64035386858</c:v>
                </c:pt>
                <c:pt idx="9">
                  <c:v>115251.02238205282</c:v>
                </c:pt>
                <c:pt idx="10">
                  <c:v>101325</c:v>
                </c:pt>
              </c:numCache>
            </c:numRef>
          </c:yVal>
          <c:smooth val="1"/>
        </c:ser>
        <c:ser>
          <c:idx val="0"/>
          <c:order val="1"/>
          <c:tx>
            <c:v>p_3D</c:v>
          </c:tx>
          <c:marker>
            <c:symbol val="none"/>
          </c:marker>
          <c:xVal>
            <c:numRef>
              <c:f>ro_const!$M$23:$Q$23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ro_var!$M$29:$Q$29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96848"/>
        <c:axId val="1593897392"/>
      </c:scatterChart>
      <c:valAx>
        <c:axId val="1593896848"/>
        <c:scaling>
          <c:orientation val="minMax"/>
          <c:max val="0.1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93897392"/>
        <c:crosses val="autoZero"/>
        <c:crossBetween val="midCat"/>
        <c:majorUnit val="2.0000000000000011E-2"/>
        <c:minorUnit val="2.0000000000000011E-2"/>
      </c:valAx>
      <c:valAx>
        <c:axId val="1593897392"/>
        <c:scaling>
          <c:orientation val="minMax"/>
          <c:max val="140000"/>
          <c:min val="100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3896848"/>
        <c:crosses val="autoZero"/>
        <c:crossBetween val="midCat"/>
        <c:majorUnit val="10000"/>
        <c:minorUnit val="4000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ru-RU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U</c:v>
          </c:tx>
          <c:marker>
            <c:symbol val="none"/>
          </c:marker>
          <c:xVal>
            <c:numRef>
              <c:f>ro_const!$G$2:$Q$2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ro_const!$G$5:$Q$5</c:f>
              <c:numCache>
                <c:formatCode>General</c:formatCode>
                <c:ptCount val="11"/>
                <c:pt idx="0">
                  <c:v>57.428354261942211</c:v>
                </c:pt>
                <c:pt idx="1">
                  <c:v>63.63252829753516</c:v>
                </c:pt>
                <c:pt idx="2">
                  <c:v>70.899376180991425</c:v>
                </c:pt>
                <c:pt idx="3">
                  <c:v>79.48589954633249</c:v>
                </c:pt>
                <c:pt idx="4">
                  <c:v>89.732140969946968</c:v>
                </c:pt>
                <c:pt idx="5">
                  <c:v>102.09516808235826</c:v>
                </c:pt>
                <c:pt idx="6">
                  <c:v>117.20094920405842</c:v>
                </c:pt>
                <c:pt idx="7">
                  <c:v>135.9251800592366</c:v>
                </c:pt>
                <c:pt idx="8">
                  <c:v>159.52311370842742</c:v>
                </c:pt>
                <c:pt idx="9">
                  <c:v>189.84554028215078</c:v>
                </c:pt>
                <c:pt idx="10">
                  <c:v>229.71303086347018</c:v>
                </c:pt>
              </c:numCache>
            </c:numRef>
          </c:yVal>
          <c:smooth val="1"/>
        </c:ser>
        <c:ser>
          <c:idx val="0"/>
          <c:order val="1"/>
          <c:tx>
            <c:v>U_3D</c:v>
          </c:tx>
          <c:marker>
            <c:symbol val="none"/>
          </c:marker>
          <c:xVal>
            <c:numRef>
              <c:f>ro_const!$M$23:$Q$23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ro_const!$M$24:$Q$24</c:f>
              <c:numCache>
                <c:formatCode>General</c:formatCode>
                <c:ptCount val="5"/>
                <c:pt idx="0">
                  <c:v>62.6</c:v>
                </c:pt>
                <c:pt idx="1">
                  <c:v>78.260000000000005</c:v>
                </c:pt>
                <c:pt idx="2">
                  <c:v>106.77</c:v>
                </c:pt>
                <c:pt idx="3">
                  <c:v>153.75</c:v>
                </c:pt>
                <c:pt idx="4">
                  <c:v>238.13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97936"/>
        <c:axId val="1593901744"/>
      </c:scatterChart>
      <c:valAx>
        <c:axId val="1593897936"/>
        <c:scaling>
          <c:orientation val="minMax"/>
          <c:max val="0.1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93901744"/>
        <c:crosses val="autoZero"/>
        <c:crossBetween val="midCat"/>
        <c:majorUnit val="2.0000000000000011E-2"/>
        <c:minorUnit val="2.0000000000000011E-2"/>
      </c:valAx>
      <c:valAx>
        <c:axId val="1593901744"/>
        <c:scaling>
          <c:orientation val="minMax"/>
          <c:max val="25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3897936"/>
        <c:crosses val="autoZero"/>
        <c:crossBetween val="midCat"/>
        <c:majorUnit val="50"/>
        <c:minorUnit val="50"/>
      </c:valAx>
    </c:plotArea>
    <c:legend>
      <c:legendPos val="r"/>
      <c:layout>
        <c:manualLayout>
          <c:xMode val="edge"/>
          <c:yMode val="edge"/>
          <c:x val="0.8153858267716535"/>
          <c:y val="0.32889112860892389"/>
          <c:w val="0.18461417322834645"/>
          <c:h val="0.1928844094488188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27</xdr:row>
      <xdr:rowOff>9525</xdr:rowOff>
    </xdr:from>
    <xdr:to>
      <xdr:col>7</xdr:col>
      <xdr:colOff>466725</xdr:colOff>
      <xdr:row>39</xdr:row>
      <xdr:rowOff>104775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375285</xdr:colOff>
      <xdr:row>27</xdr:row>
      <xdr:rowOff>118110</xdr:rowOff>
    </xdr:from>
    <xdr:to>
      <xdr:col>14</xdr:col>
      <xdr:colOff>337185</xdr:colOff>
      <xdr:row>40</xdr:row>
      <xdr:rowOff>22860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266700</xdr:colOff>
      <xdr:row>42</xdr:row>
      <xdr:rowOff>30480</xdr:rowOff>
    </xdr:from>
    <xdr:to>
      <xdr:col>8</xdr:col>
      <xdr:colOff>19050</xdr:colOff>
      <xdr:row>54</xdr:row>
      <xdr:rowOff>123825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14</xdr:col>
      <xdr:colOff>571500</xdr:colOff>
      <xdr:row>54</xdr:row>
      <xdr:rowOff>95250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6</xdr:col>
      <xdr:colOff>746760</xdr:colOff>
      <xdr:row>38</xdr:row>
      <xdr:rowOff>38100</xdr:rowOff>
    </xdr:from>
    <xdr:ext cx="369332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/>
            <xdr:cNvSpPr txBox="1"/>
          </xdr:nvSpPr>
          <xdr:spPr>
            <a:xfrm>
              <a:off x="4404360" y="6987540"/>
              <a:ext cx="3693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(м)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6" name="TextBox 5"/>
            <xdr:cNvSpPr txBox="1"/>
          </xdr:nvSpPr>
          <xdr:spPr>
            <a:xfrm>
              <a:off x="4404360" y="6987540"/>
              <a:ext cx="3693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𝑋 (</a:t>
              </a:r>
              <a:r>
                <a:rPr lang="ru-RU" sz="1100" b="0" i="0">
                  <a:latin typeface="Cambria Math" panose="02040503050406030204" pitchFamily="18" charset="0"/>
                </a:rPr>
                <a:t>м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13</xdr:col>
      <xdr:colOff>373380</xdr:colOff>
      <xdr:row>38</xdr:row>
      <xdr:rowOff>106680</xdr:rowOff>
    </xdr:from>
    <xdr:ext cx="369332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TextBox 6"/>
            <xdr:cNvSpPr txBox="1"/>
          </xdr:nvSpPr>
          <xdr:spPr>
            <a:xfrm>
              <a:off x="8534400" y="7056120"/>
              <a:ext cx="3693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(м)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7" name="TextBox 6"/>
            <xdr:cNvSpPr txBox="1"/>
          </xdr:nvSpPr>
          <xdr:spPr>
            <a:xfrm>
              <a:off x="8534400" y="7056120"/>
              <a:ext cx="3693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𝑋 (</a:t>
              </a:r>
              <a:r>
                <a:rPr lang="ru-RU" sz="1100" b="0" i="0">
                  <a:latin typeface="Cambria Math" panose="02040503050406030204" pitchFamily="18" charset="0"/>
                </a:rPr>
                <a:t>м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13</xdr:col>
      <xdr:colOff>426720</xdr:colOff>
      <xdr:row>53</xdr:row>
      <xdr:rowOff>30480</xdr:rowOff>
    </xdr:from>
    <xdr:ext cx="369332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TextBox 7"/>
            <xdr:cNvSpPr txBox="1"/>
          </xdr:nvSpPr>
          <xdr:spPr>
            <a:xfrm>
              <a:off x="8587740" y="9723120"/>
              <a:ext cx="3693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(м)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8" name="TextBox 7"/>
            <xdr:cNvSpPr txBox="1"/>
          </xdr:nvSpPr>
          <xdr:spPr>
            <a:xfrm>
              <a:off x="8587740" y="9723120"/>
              <a:ext cx="3693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𝑋 (</a:t>
              </a:r>
              <a:r>
                <a:rPr lang="ru-RU" sz="1100" b="0" i="0">
                  <a:latin typeface="Cambria Math" panose="02040503050406030204" pitchFamily="18" charset="0"/>
                </a:rPr>
                <a:t>м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6</xdr:col>
      <xdr:colOff>800100</xdr:colOff>
      <xdr:row>53</xdr:row>
      <xdr:rowOff>121920</xdr:rowOff>
    </xdr:from>
    <xdr:ext cx="369332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9" name="TextBox 8"/>
            <xdr:cNvSpPr txBox="1"/>
          </xdr:nvSpPr>
          <xdr:spPr>
            <a:xfrm>
              <a:off x="4457700" y="9814560"/>
              <a:ext cx="3693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(м)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9" name="TextBox 8"/>
            <xdr:cNvSpPr txBox="1"/>
          </xdr:nvSpPr>
          <xdr:spPr>
            <a:xfrm>
              <a:off x="4457700" y="9814560"/>
              <a:ext cx="3693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𝑋 (</a:t>
              </a:r>
              <a:r>
                <a:rPr lang="ru-RU" sz="1100" b="0" i="0">
                  <a:latin typeface="Cambria Math" panose="02040503050406030204" pitchFamily="18" charset="0"/>
                </a:rPr>
                <a:t>м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</xdr:col>
      <xdr:colOff>175260</xdr:colOff>
      <xdr:row>42</xdr:row>
      <xdr:rowOff>22860</xdr:rowOff>
    </xdr:from>
    <xdr:ext cx="434863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0" name="TextBox 9"/>
            <xdr:cNvSpPr txBox="1"/>
          </xdr:nvSpPr>
          <xdr:spPr>
            <a:xfrm>
              <a:off x="2004060" y="7703820"/>
              <a:ext cx="4348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(Па)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10" name="TextBox 9"/>
            <xdr:cNvSpPr txBox="1"/>
          </xdr:nvSpPr>
          <xdr:spPr>
            <a:xfrm>
              <a:off x="2004060" y="7703820"/>
              <a:ext cx="4348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𝑃 (</a:t>
              </a:r>
              <a:r>
                <a:rPr lang="ru-RU" sz="1100" b="0" i="0">
                  <a:latin typeface="Cambria Math" panose="02040503050406030204" pitchFamily="18" charset="0"/>
                </a:rPr>
                <a:t>Па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ru-RU" sz="1100"/>
            </a:p>
          </xdr:txBody>
        </xdr:sp>
      </mc:Fallback>
    </mc:AlternateContent>
    <xdr:clientData/>
  </xdr:oneCellAnchor>
  <xdr:twoCellAnchor>
    <xdr:from>
      <xdr:col>2</xdr:col>
      <xdr:colOff>175260</xdr:colOff>
      <xdr:row>28</xdr:row>
      <xdr:rowOff>91440</xdr:rowOff>
    </xdr:from>
    <xdr:to>
      <xdr:col>2</xdr:col>
      <xdr:colOff>494899</xdr:colOff>
      <xdr:row>29</xdr:row>
      <xdr:rowOff>80787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1" name="TextBox 9"/>
            <xdr:cNvSpPr txBox="1"/>
          </xdr:nvSpPr>
          <xdr:spPr>
            <a:xfrm>
              <a:off x="1394460" y="5212080"/>
              <a:ext cx="31963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100" b="0" i="0">
                  <a:latin typeface="+mn-lt"/>
                </a:rPr>
                <a:t>R</a:t>
              </a:r>
              <a14:m>
                <m:oMath xmlns:m="http://schemas.openxmlformats.org/officeDocument/2006/math">
                  <m:r>
                    <a:rPr lang="en-US" sz="1100" b="0" i="1">
                      <a:latin typeface="Cambria Math" panose="02040503050406030204" pitchFamily="18" charset="0"/>
                    </a:rPr>
                    <m:t>( </m:t>
                  </m:r>
                  <m:r>
                    <a:rPr lang="ru-RU" sz="1100" b="0" i="1">
                      <a:latin typeface="Cambria Math" panose="02040503050406030204" pitchFamily="18" charset="0"/>
                    </a:rPr>
                    <m:t>м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ru-RU" sz="1100"/>
            </a:p>
          </xdr:txBody>
        </xdr:sp>
      </mc:Choice>
      <mc:Fallback>
        <xdr:sp macro="" textlink="">
          <xdr:nvSpPr>
            <xdr:cNvPr id="11" name="TextBox 9"/>
            <xdr:cNvSpPr txBox="1"/>
          </xdr:nvSpPr>
          <xdr:spPr>
            <a:xfrm>
              <a:off x="1394460" y="5212080"/>
              <a:ext cx="31963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100" b="0" i="0">
                  <a:latin typeface="+mn-lt"/>
                </a:rPr>
                <a:t>R</a:t>
              </a:r>
              <a:r>
                <a:rPr lang="en-US" sz="1100" b="0" i="0">
                  <a:latin typeface="Cambria Math" panose="02040503050406030204" pitchFamily="18" charset="0"/>
                </a:rPr>
                <a:t>( </a:t>
              </a:r>
              <a:r>
                <a:rPr lang="ru-RU" sz="1100" b="0" i="0">
                  <a:latin typeface="Cambria Math" panose="02040503050406030204" pitchFamily="18" charset="0"/>
                </a:rPr>
                <a:t>м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ru-RU" sz="1100"/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0.01404</cdr:x>
      <cdr:y>0.02226</cdr:y>
    </cdr:from>
    <cdr:to>
      <cdr:x>0.16288</cdr:x>
      <cdr:y>0.09772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5"/>
            <cdr:cNvSpPr txBox="1"/>
          </cdr:nvSpPr>
          <cdr:spPr>
            <a:xfrm xmlns:a="http://schemas.openxmlformats.org/drawingml/2006/main">
              <a:off x="50800" y="50800"/>
              <a:ext cx="538737" cy="172227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100" b="0"/>
                <a:t>G</a:t>
              </a:r>
              <a14:m>
                <m:oMath xmlns:m="http://schemas.openxmlformats.org/officeDocument/2006/math">
                  <m:r>
                    <a:rPr lang="en-US" sz="1100" b="0" i="1">
                      <a:latin typeface="Cambria Math" panose="02040503050406030204" pitchFamily="18" charset="0"/>
                    </a:rPr>
                    <m:t> (</m:t>
                  </m:r>
                  <m:r>
                    <a:rPr lang="ru-RU" sz="1100" b="0" i="1">
                      <a:latin typeface="Cambria Math" panose="02040503050406030204" pitchFamily="18" charset="0"/>
                    </a:rPr>
                    <m:t> кг/с)</m:t>
                  </m:r>
                </m:oMath>
              </a14:m>
              <a:endParaRPr lang="ru-RU" sz="1100"/>
            </a:p>
          </cdr:txBody>
        </cdr:sp>
      </mc:Choice>
      <mc:Fallback>
        <cdr:sp macro="" textlink="">
          <cdr:nvSpPr>
            <cdr:cNvPr id="2" name="TextBox 5"/>
            <cdr:cNvSpPr txBox="1"/>
          </cdr:nvSpPr>
          <cdr:spPr>
            <a:xfrm xmlns:a="http://schemas.openxmlformats.org/drawingml/2006/main">
              <a:off x="50800" y="50800"/>
              <a:ext cx="538737" cy="172227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100" b="0"/>
                <a:t>G</a:t>
              </a:r>
              <a:r>
                <a:rPr lang="en-US" sz="1100" b="0" i="0">
                  <a:latin typeface="Cambria Math" panose="02040503050406030204" pitchFamily="18" charset="0"/>
                </a:rPr>
                <a:t> (</a:t>
              </a:r>
              <a:r>
                <a:rPr lang="ru-RU" sz="1100" b="0" i="0">
                  <a:latin typeface="Cambria Math" panose="02040503050406030204" pitchFamily="18" charset="0"/>
                </a:rPr>
                <a:t> кг/с)</a:t>
              </a:r>
              <a:endParaRPr lang="ru-RU" sz="1100"/>
            </a:p>
          </cdr:txBody>
        </cdr:sp>
      </mc:Fallback>
    </mc:AlternateContent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0.02035</cdr:x>
      <cdr:y>0.08209</cdr:y>
    </cdr:from>
    <cdr:to>
      <cdr:x>0.1488</cdr:x>
      <cdr:y>0.1573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8"/>
            <cdr:cNvSpPr txBox="1"/>
          </cdr:nvSpPr>
          <cdr:spPr>
            <a:xfrm xmlns:a="http://schemas.openxmlformats.org/drawingml/2006/main">
              <a:off x="73660" y="187960"/>
              <a:ext cx="464935" cy="172227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100" b="0"/>
                <a:t>U</a:t>
              </a:r>
              <a14:m>
                <m:oMath xmlns:m="http://schemas.openxmlformats.org/officeDocument/2006/math">
                  <m:r>
                    <a:rPr lang="en-US" sz="1100" b="0" i="1">
                      <a:latin typeface="Cambria Math" panose="02040503050406030204" pitchFamily="18" charset="0"/>
                    </a:rPr>
                    <m:t> (</m:t>
                  </m:r>
                  <m:r>
                    <a:rPr lang="ru-RU" sz="1100" b="0" i="1">
                      <a:latin typeface="Cambria Math" panose="02040503050406030204" pitchFamily="18" charset="0"/>
                    </a:rPr>
                    <m:t>м/с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ru-RU" sz="1100"/>
            </a:p>
          </cdr:txBody>
        </cdr:sp>
      </mc:Choice>
      <mc:Fallback>
        <cdr:sp macro="" textlink="">
          <cdr:nvSpPr>
            <cdr:cNvPr id="2" name="TextBox 8"/>
            <cdr:cNvSpPr txBox="1"/>
          </cdr:nvSpPr>
          <cdr:spPr>
            <a:xfrm xmlns:a="http://schemas.openxmlformats.org/drawingml/2006/main">
              <a:off x="73660" y="187960"/>
              <a:ext cx="464935" cy="172227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100" b="0"/>
                <a:t>U</a:t>
              </a:r>
              <a:r>
                <a:rPr lang="en-US" sz="1100" b="0" i="0">
                  <a:latin typeface="Cambria Math" panose="02040503050406030204" pitchFamily="18" charset="0"/>
                </a:rPr>
                <a:t> (</a:t>
              </a:r>
              <a:r>
                <a:rPr lang="ru-RU" sz="1100" b="0" i="0">
                  <a:latin typeface="Cambria Math" panose="02040503050406030204" pitchFamily="18" charset="0"/>
                </a:rPr>
                <a:t>м/с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ru-RU" sz="1100"/>
            </a:p>
          </cdr:txBody>
        </cdr:sp>
      </mc:Fallback>
    </mc:AlternateContent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168275</xdr:colOff>
      <xdr:row>31</xdr:row>
      <xdr:rowOff>10583</xdr:rowOff>
    </xdr:from>
    <xdr:to>
      <xdr:col>5</xdr:col>
      <xdr:colOff>593724</xdr:colOff>
      <xdr:row>43</xdr:row>
      <xdr:rowOff>136525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374650</xdr:colOff>
      <xdr:row>30</xdr:row>
      <xdr:rowOff>179917</xdr:rowOff>
    </xdr:from>
    <xdr:to>
      <xdr:col>12</xdr:col>
      <xdr:colOff>268816</xdr:colOff>
      <xdr:row>43</xdr:row>
      <xdr:rowOff>88900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118534</xdr:colOff>
      <xdr:row>46</xdr:row>
      <xdr:rowOff>92075</xdr:rowOff>
    </xdr:from>
    <xdr:to>
      <xdr:col>5</xdr:col>
      <xdr:colOff>548217</xdr:colOff>
      <xdr:row>58</xdr:row>
      <xdr:rowOff>187325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82549</xdr:colOff>
      <xdr:row>47</xdr:row>
      <xdr:rowOff>97367</xdr:rowOff>
    </xdr:from>
    <xdr:to>
      <xdr:col>11</xdr:col>
      <xdr:colOff>590549</xdr:colOff>
      <xdr:row>60</xdr:row>
      <xdr:rowOff>2117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524933</xdr:colOff>
      <xdr:row>59</xdr:row>
      <xdr:rowOff>16933</xdr:rowOff>
    </xdr:from>
    <xdr:ext cx="369332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/>
            <xdr:cNvSpPr txBox="1"/>
          </xdr:nvSpPr>
          <xdr:spPr>
            <a:xfrm>
              <a:off x="6705600" y="11006666"/>
              <a:ext cx="3693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(м)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6" name="TextBox 5"/>
            <xdr:cNvSpPr txBox="1"/>
          </xdr:nvSpPr>
          <xdr:spPr>
            <a:xfrm>
              <a:off x="6705600" y="11006666"/>
              <a:ext cx="3693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𝑋 (</a:t>
              </a:r>
              <a:r>
                <a:rPr lang="ru-RU" sz="1100" b="0" i="0">
                  <a:latin typeface="Cambria Math" panose="02040503050406030204" pitchFamily="18" charset="0"/>
                </a:rPr>
                <a:t>м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11</xdr:col>
      <xdr:colOff>313267</xdr:colOff>
      <xdr:row>42</xdr:row>
      <xdr:rowOff>25400</xdr:rowOff>
    </xdr:from>
    <xdr:ext cx="369332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TextBox 6"/>
            <xdr:cNvSpPr txBox="1"/>
          </xdr:nvSpPr>
          <xdr:spPr>
            <a:xfrm>
              <a:off x="7103534" y="7848600"/>
              <a:ext cx="3693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(м)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7" name="TextBox 6"/>
            <xdr:cNvSpPr txBox="1"/>
          </xdr:nvSpPr>
          <xdr:spPr>
            <a:xfrm>
              <a:off x="7103534" y="7848600"/>
              <a:ext cx="3693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𝑋 (</a:t>
              </a:r>
              <a:r>
                <a:rPr lang="ru-RU" sz="1100" b="0" i="0">
                  <a:latin typeface="Cambria Math" panose="02040503050406030204" pitchFamily="18" charset="0"/>
                </a:rPr>
                <a:t>м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5</xdr:col>
      <xdr:colOff>50800</xdr:colOff>
      <xdr:row>42</xdr:row>
      <xdr:rowOff>59266</xdr:rowOff>
    </xdr:from>
    <xdr:ext cx="369332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TextBox 7"/>
            <xdr:cNvSpPr txBox="1"/>
          </xdr:nvSpPr>
          <xdr:spPr>
            <a:xfrm>
              <a:off x="3098800" y="7882466"/>
              <a:ext cx="3693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(м)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8" name="TextBox 7"/>
            <xdr:cNvSpPr txBox="1"/>
          </xdr:nvSpPr>
          <xdr:spPr>
            <a:xfrm>
              <a:off x="3098800" y="7882466"/>
              <a:ext cx="3693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𝑋 (</a:t>
              </a:r>
              <a:r>
                <a:rPr lang="ru-RU" sz="1100" b="0" i="0">
                  <a:latin typeface="Cambria Math" panose="02040503050406030204" pitchFamily="18" charset="0"/>
                </a:rPr>
                <a:t>м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0</xdr:col>
      <xdr:colOff>152400</xdr:colOff>
      <xdr:row>46</xdr:row>
      <xdr:rowOff>16933</xdr:rowOff>
    </xdr:from>
    <xdr:ext cx="434863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9" name="TextBox 8"/>
            <xdr:cNvSpPr txBox="1"/>
          </xdr:nvSpPr>
          <xdr:spPr>
            <a:xfrm>
              <a:off x="152400" y="8585200"/>
              <a:ext cx="4348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(Па)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9" name="TextBox 8"/>
            <xdr:cNvSpPr txBox="1"/>
          </xdr:nvSpPr>
          <xdr:spPr>
            <a:xfrm>
              <a:off x="152400" y="8585200"/>
              <a:ext cx="4348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𝑃 (</a:t>
              </a:r>
              <a:r>
                <a:rPr lang="ru-RU" sz="1100" b="0" i="0">
                  <a:latin typeface="Cambria Math" panose="02040503050406030204" pitchFamily="18" charset="0"/>
                </a:rPr>
                <a:t>Па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ru-RU" sz="1100"/>
            </a:p>
          </xdr:txBody>
        </xdr:sp>
      </mc:Fallback>
    </mc:AlternateContent>
    <xdr:clientData/>
  </xdr:oneCellAnchor>
  <xdr:twoCellAnchor>
    <xdr:from>
      <xdr:col>6</xdr:col>
      <xdr:colOff>423333</xdr:colOff>
      <xdr:row>31</xdr:row>
      <xdr:rowOff>160867</xdr:rowOff>
    </xdr:from>
    <xdr:to>
      <xdr:col>7</xdr:col>
      <xdr:colOff>267803</xdr:colOff>
      <xdr:row>32</xdr:row>
      <xdr:rowOff>146828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1" name="TextBox 5"/>
            <xdr:cNvSpPr txBox="1"/>
          </xdr:nvSpPr>
          <xdr:spPr>
            <a:xfrm>
              <a:off x="4080933" y="5935134"/>
              <a:ext cx="5387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100" b="0"/>
                <a:t>G</a:t>
              </a:r>
              <a14:m>
                <m:oMath xmlns:m="http://schemas.openxmlformats.org/officeDocument/2006/math">
                  <m:r>
                    <a:rPr lang="en-US" sz="1100" b="0" i="1">
                      <a:latin typeface="Cambria Math" panose="02040503050406030204" pitchFamily="18" charset="0"/>
                    </a:rPr>
                    <m:t> (</m:t>
                  </m:r>
                  <m:r>
                    <a:rPr lang="ru-RU" sz="1100" b="0" i="1">
                      <a:latin typeface="Cambria Math" panose="02040503050406030204" pitchFamily="18" charset="0"/>
                    </a:rPr>
                    <m:t> кг/с)</m:t>
                  </m:r>
                </m:oMath>
              </a14:m>
              <a:endParaRPr lang="ru-RU" sz="1100"/>
            </a:p>
          </xdr:txBody>
        </xdr:sp>
      </mc:Choice>
      <mc:Fallback>
        <xdr:sp macro="" textlink="">
          <xdr:nvSpPr>
            <xdr:cNvPr id="11" name="TextBox 5"/>
            <xdr:cNvSpPr txBox="1"/>
          </xdr:nvSpPr>
          <xdr:spPr>
            <a:xfrm>
              <a:off x="4080933" y="5935134"/>
              <a:ext cx="5387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100" b="0"/>
                <a:t>G</a:t>
              </a:r>
              <a:r>
                <a:rPr lang="en-US" sz="1100" b="0" i="0">
                  <a:latin typeface="Cambria Math" panose="02040503050406030204" pitchFamily="18" charset="0"/>
                </a:rPr>
                <a:t> (</a:t>
              </a:r>
              <a:r>
                <a:rPr lang="ru-RU" sz="1100" b="0" i="0">
                  <a:latin typeface="Cambria Math" panose="02040503050406030204" pitchFamily="18" charset="0"/>
                </a:rPr>
                <a:t> кг/с)</a:t>
              </a:r>
              <a:endParaRPr lang="ru-RU" sz="1100"/>
            </a:p>
          </xdr:txBody>
        </xdr:sp>
      </mc:Fallback>
    </mc:AlternateContent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0.01706</cdr:x>
      <cdr:y>0.07172</cdr:y>
    </cdr:from>
    <cdr:to>
      <cdr:x>0.10909</cdr:x>
      <cdr:y>0.14466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9"/>
            <cdr:cNvSpPr txBox="1"/>
          </cdr:nvSpPr>
          <cdr:spPr>
            <a:xfrm xmlns:a="http://schemas.openxmlformats.org/drawingml/2006/main">
              <a:off x="59267" y="169334"/>
              <a:ext cx="319639" cy="172227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100" b="0" i="0">
                  <a:latin typeface="+mn-lt"/>
                </a:rPr>
                <a:t>R</a:t>
              </a:r>
              <a14:m>
                <m:oMath xmlns:m="http://schemas.openxmlformats.org/officeDocument/2006/math">
                  <m:r>
                    <a:rPr lang="en-US" sz="1100" b="0" i="1">
                      <a:latin typeface="Cambria Math" panose="02040503050406030204" pitchFamily="18" charset="0"/>
                    </a:rPr>
                    <m:t>( </m:t>
                  </m:r>
                  <m:r>
                    <a:rPr lang="ru-RU" sz="1100" b="0" i="1">
                      <a:latin typeface="Cambria Math" panose="02040503050406030204" pitchFamily="18" charset="0"/>
                    </a:rPr>
                    <m:t>м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ru-RU" sz="1100"/>
            </a:p>
          </cdr:txBody>
        </cdr:sp>
      </mc:Choice>
      <mc:Fallback>
        <cdr:sp macro="" textlink="">
          <cdr:nvSpPr>
            <cdr:cNvPr id="2" name="TextBox 9"/>
            <cdr:cNvSpPr txBox="1"/>
          </cdr:nvSpPr>
          <cdr:spPr>
            <a:xfrm xmlns:a="http://schemas.openxmlformats.org/drawingml/2006/main">
              <a:off x="59267" y="169334"/>
              <a:ext cx="319639" cy="172227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100" b="0" i="0">
                  <a:latin typeface="+mn-lt"/>
                </a:rPr>
                <a:t>R</a:t>
              </a:r>
              <a:r>
                <a:rPr lang="en-US" sz="1100" b="0" i="0">
                  <a:latin typeface="Cambria Math" panose="02040503050406030204" pitchFamily="18" charset="0"/>
                </a:rPr>
                <a:t>( </a:t>
              </a:r>
              <a:r>
                <a:rPr lang="ru-RU" sz="1100" b="0" i="0">
                  <a:latin typeface="Cambria Math" panose="02040503050406030204" pitchFamily="18" charset="0"/>
                </a:rPr>
                <a:t>м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ru-RU" sz="1100"/>
            </a:p>
          </cdr:txBody>
        </cdr:sp>
      </mc:Fallback>
    </mc:AlternateContent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0.77176</cdr:x>
      <cdr:y>0.88573</cdr:y>
    </cdr:from>
    <cdr:to>
      <cdr:x>0.87796</cdr:x>
      <cdr:y>0.95988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5"/>
            <cdr:cNvSpPr txBox="1"/>
          </cdr:nvSpPr>
          <cdr:spPr>
            <a:xfrm xmlns:a="http://schemas.openxmlformats.org/drawingml/2006/main">
              <a:off x="2683933" y="2057400"/>
              <a:ext cx="369332" cy="172227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(м)</m:t>
                    </m:r>
                  </m:oMath>
                </m:oMathPara>
              </a14:m>
              <a:endParaRPr lang="ru-RU" sz="1100"/>
            </a:p>
          </cdr:txBody>
        </cdr:sp>
      </mc:Choice>
      <mc:Fallback>
        <cdr:sp macro="" textlink="">
          <cdr:nvSpPr>
            <cdr:cNvPr id="2" name="TextBox 5"/>
            <cdr:cNvSpPr txBox="1"/>
          </cdr:nvSpPr>
          <cdr:spPr>
            <a:xfrm xmlns:a="http://schemas.openxmlformats.org/drawingml/2006/main">
              <a:off x="2683933" y="2057400"/>
              <a:ext cx="369332" cy="172227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100" b="0" i="0">
                  <a:latin typeface="Cambria Math" panose="02040503050406030204" pitchFamily="18" charset="0"/>
                </a:rPr>
                <a:t>𝑋 (м)</a:t>
              </a:r>
              <a:endParaRPr lang="ru-RU" sz="1100"/>
            </a:p>
          </cdr:txBody>
        </cdr:sp>
      </mc:Fallback>
    </mc:AlternateContent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0.01628</cdr:x>
      <cdr:y>0.08735</cdr:y>
    </cdr:from>
    <cdr:to>
      <cdr:x>0.14596</cdr:x>
      <cdr:y>0.16139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8"/>
            <cdr:cNvSpPr txBox="1"/>
          </cdr:nvSpPr>
          <cdr:spPr>
            <a:xfrm xmlns:a="http://schemas.openxmlformats.org/drawingml/2006/main">
              <a:off x="59267" y="203200"/>
              <a:ext cx="472117" cy="172227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100" b="0"/>
                <a:t>U</a:t>
              </a:r>
              <a14:m>
                <m:oMath xmlns:m="http://schemas.openxmlformats.org/officeDocument/2006/math">
                  <m:r>
                    <a:rPr lang="en-US" sz="1100" b="0" i="1">
                      <a:latin typeface="Cambria Math" panose="02040503050406030204" pitchFamily="18" charset="0"/>
                    </a:rPr>
                    <m:t> (</m:t>
                  </m:r>
                  <m:r>
                    <a:rPr lang="ru-RU" sz="1100" b="0" i="1">
                      <a:latin typeface="Cambria Math" panose="02040503050406030204" pitchFamily="18" charset="0"/>
                    </a:rPr>
                    <m:t>м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/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𝑐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ru-RU" sz="1100"/>
            </a:p>
          </cdr:txBody>
        </cdr:sp>
      </mc:Choice>
      <mc:Fallback>
        <cdr:sp macro="" textlink="">
          <cdr:nvSpPr>
            <cdr:cNvPr id="2" name="TextBox 8"/>
            <cdr:cNvSpPr txBox="1"/>
          </cdr:nvSpPr>
          <cdr:spPr>
            <a:xfrm xmlns:a="http://schemas.openxmlformats.org/drawingml/2006/main">
              <a:off x="59267" y="203200"/>
              <a:ext cx="472117" cy="172227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100" b="0"/>
                <a:t>U</a:t>
              </a:r>
              <a:r>
                <a:rPr lang="en-US" sz="1100" b="0" i="0">
                  <a:latin typeface="Cambria Math" panose="02040503050406030204" pitchFamily="18" charset="0"/>
                </a:rPr>
                <a:t> (</a:t>
              </a:r>
              <a:r>
                <a:rPr lang="ru-RU" sz="1100" b="0" i="0">
                  <a:latin typeface="Cambria Math" panose="02040503050406030204" pitchFamily="18" charset="0"/>
                </a:rPr>
                <a:t>м</a:t>
              </a:r>
              <a:r>
                <a:rPr lang="en-US" sz="1100" b="0" i="0">
                  <a:latin typeface="Cambria Math" panose="02040503050406030204" pitchFamily="18" charset="0"/>
                </a:rPr>
                <a:t>/𝑐)</a:t>
              </a:r>
              <a:endParaRPr lang="ru-RU" sz="1100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Q26"/>
  <sheetViews>
    <sheetView tabSelected="1" workbookViewId="0">
      <selection activeCell="R53" sqref="R53"/>
    </sheetView>
  </sheetViews>
  <sheetFormatPr defaultRowHeight="14.4" x14ac:dyDescent="0.3"/>
  <cols>
    <col min="7" max="7" width="12.33203125" customWidth="1"/>
  </cols>
  <sheetData>
    <row r="1" spans="2:17" x14ac:dyDescent="0.3">
      <c r="F1" s="1" t="s">
        <v>10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2:17" x14ac:dyDescent="0.3">
      <c r="B2" s="1" t="s">
        <v>4</v>
      </c>
      <c r="C2" s="1">
        <v>0.1</v>
      </c>
      <c r="F2" s="1" t="s">
        <v>1</v>
      </c>
      <c r="G2" s="1">
        <v>0</v>
      </c>
      <c r="H2" s="1">
        <v>0.01</v>
      </c>
      <c r="I2" s="1">
        <v>0.02</v>
      </c>
      <c r="J2" s="1">
        <v>0.03</v>
      </c>
      <c r="K2" s="1">
        <v>0.04</v>
      </c>
      <c r="L2" s="1">
        <v>0.05</v>
      </c>
      <c r="M2" s="1">
        <v>0.06</v>
      </c>
      <c r="N2" s="1">
        <v>7.0000000000000007E-2</v>
      </c>
      <c r="O2" s="1">
        <v>0.08</v>
      </c>
      <c r="P2" s="1">
        <v>0.09</v>
      </c>
      <c r="Q2" s="1">
        <v>0.1</v>
      </c>
    </row>
    <row r="3" spans="2:17" x14ac:dyDescent="0.3">
      <c r="B3" s="1" t="s">
        <v>5</v>
      </c>
      <c r="C3" s="1">
        <f>C2/10</f>
        <v>0.01</v>
      </c>
      <c r="F3" s="1" t="s">
        <v>7</v>
      </c>
      <c r="G3" s="1">
        <v>0.08</v>
      </c>
      <c r="H3" s="1">
        <f>G3+($Q$3-$G$3)/10</f>
        <v>7.5999999999999998E-2</v>
      </c>
      <c r="I3" s="1">
        <f t="shared" ref="I3:P3" si="0">H3+($Q$3-$G$3)/10</f>
        <v>7.1999999999999995E-2</v>
      </c>
      <c r="J3" s="1">
        <f t="shared" si="0"/>
        <v>6.7999999999999991E-2</v>
      </c>
      <c r="K3" s="1">
        <f t="shared" si="0"/>
        <v>6.3999999999999987E-2</v>
      </c>
      <c r="L3" s="1">
        <f t="shared" si="0"/>
        <v>5.9999999999999984E-2</v>
      </c>
      <c r="M3" s="1">
        <f t="shared" si="0"/>
        <v>5.599999999999998E-2</v>
      </c>
      <c r="N3" s="1">
        <f t="shared" si="0"/>
        <v>5.1999999999999977E-2</v>
      </c>
      <c r="O3" s="1">
        <f t="shared" si="0"/>
        <v>4.7999999999999973E-2</v>
      </c>
      <c r="P3" s="1">
        <f t="shared" si="0"/>
        <v>4.399999999999997E-2</v>
      </c>
      <c r="Q3" s="1">
        <v>0.04</v>
      </c>
    </row>
    <row r="4" spans="2:17" x14ac:dyDescent="0.3">
      <c r="F4" s="1" t="s">
        <v>11</v>
      </c>
      <c r="G4" s="1">
        <f>(PI()*(2*G3)^2)/4</f>
        <v>2.0106192982974676E-2</v>
      </c>
      <c r="H4" s="1">
        <f t="shared" ref="H4:Q4" si="1">(PI()*(2*H3)^2)/4</f>
        <v>1.8145839167134643E-2</v>
      </c>
      <c r="I4" s="1">
        <f t="shared" si="1"/>
        <v>1.6286016316209486E-2</v>
      </c>
      <c r="J4" s="1">
        <f t="shared" si="1"/>
        <v>1.4526724430199199E-2</v>
      </c>
      <c r="K4" s="1">
        <f t="shared" si="1"/>
        <v>1.2867963509103787E-2</v>
      </c>
      <c r="L4" s="1">
        <f t="shared" si="1"/>
        <v>1.1309733552923249E-2</v>
      </c>
      <c r="M4" s="1">
        <f t="shared" si="1"/>
        <v>9.8520345616575841E-3</v>
      </c>
      <c r="N4" s="1">
        <f t="shared" si="1"/>
        <v>8.4948665353067939E-3</v>
      </c>
      <c r="O4" s="1">
        <f t="shared" si="1"/>
        <v>7.2382294738708754E-3</v>
      </c>
      <c r="P4" s="1">
        <f t="shared" si="1"/>
        <v>6.0821233773498311E-3</v>
      </c>
      <c r="Q4" s="1">
        <f t="shared" si="1"/>
        <v>5.0265482457436689E-3</v>
      </c>
    </row>
    <row r="5" spans="2:17" x14ac:dyDescent="0.3">
      <c r="B5" s="1" t="s">
        <v>6</v>
      </c>
      <c r="C5" s="1">
        <v>1.4</v>
      </c>
      <c r="F5" s="1" t="s">
        <v>0</v>
      </c>
      <c r="G5" s="1">
        <v>57.428354261942211</v>
      </c>
      <c r="H5" s="1">
        <v>63.63252829753516</v>
      </c>
      <c r="I5" s="1">
        <v>70.899376180991425</v>
      </c>
      <c r="J5" s="1">
        <v>79.48589954633249</v>
      </c>
      <c r="K5" s="1">
        <v>89.732140969946968</v>
      </c>
      <c r="L5" s="1">
        <v>102.09516808235826</v>
      </c>
      <c r="M5" s="1">
        <v>117.20094920405842</v>
      </c>
      <c r="N5" s="1">
        <v>135.9251800592366</v>
      </c>
      <c r="O5" s="1">
        <v>159.52311370842742</v>
      </c>
      <c r="P5" s="1">
        <v>189.84554028215078</v>
      </c>
      <c r="Q5" s="1">
        <v>229.71303086347018</v>
      </c>
    </row>
    <row r="6" spans="2:17" x14ac:dyDescent="0.3">
      <c r="B6" s="1" t="s">
        <v>7</v>
      </c>
      <c r="C6" s="1">
        <v>286.97199999999998</v>
      </c>
      <c r="F6" s="1" t="s">
        <v>2</v>
      </c>
      <c r="G6" s="1">
        <v>133045.92559510819</v>
      </c>
      <c r="H6" s="1">
        <v>132578.10225008882</v>
      </c>
      <c r="I6" s="1">
        <v>131967.57223922404</v>
      </c>
      <c r="J6" s="1">
        <v>131158.80072580537</v>
      </c>
      <c r="K6" s="1">
        <v>130069.29144969466</v>
      </c>
      <c r="L6" s="1">
        <v>128573.57835815659</v>
      </c>
      <c r="M6" s="1">
        <v>126475.64059217712</v>
      </c>
      <c r="N6" s="1">
        <v>123459.7040030183</v>
      </c>
      <c r="O6" s="1">
        <v>118998.87147666248</v>
      </c>
      <c r="P6" s="1">
        <v>112177.32730549212</v>
      </c>
      <c r="Q6" s="1">
        <v>101325</v>
      </c>
    </row>
    <row r="7" spans="2:17" x14ac:dyDescent="0.3">
      <c r="B7" s="1" t="s">
        <v>3</v>
      </c>
      <c r="C7" s="1">
        <v>1004.4</v>
      </c>
      <c r="F7" s="1" t="s">
        <v>12</v>
      </c>
      <c r="G7" s="1">
        <v>1.1850000000000001</v>
      </c>
      <c r="H7" s="1">
        <v>1.1850000000000001</v>
      </c>
      <c r="I7" s="1">
        <v>1.1850000000000001</v>
      </c>
      <c r="J7" s="1">
        <v>1.1850000000000001</v>
      </c>
      <c r="K7" s="1">
        <v>1.1850000000000001</v>
      </c>
      <c r="L7" s="1">
        <v>1.1850000000000001</v>
      </c>
      <c r="M7" s="1">
        <v>1.1850000000000001</v>
      </c>
      <c r="N7" s="1">
        <v>1.1850000000000001</v>
      </c>
      <c r="O7" s="1">
        <v>1.1850000000000001</v>
      </c>
      <c r="P7" s="1">
        <v>1.1850000000000001</v>
      </c>
      <c r="Q7" s="1">
        <v>1.1850000000000001</v>
      </c>
    </row>
    <row r="9" spans="2:17" x14ac:dyDescent="0.3">
      <c r="B9" s="1" t="s">
        <v>8</v>
      </c>
      <c r="C9" s="1">
        <v>135000</v>
      </c>
    </row>
    <row r="10" spans="2:17" x14ac:dyDescent="0.3">
      <c r="B10" s="1" t="s">
        <v>9</v>
      </c>
      <c r="C10" s="1">
        <v>288.16000000000003</v>
      </c>
      <c r="F10" s="1" t="s">
        <v>13</v>
      </c>
      <c r="G10" s="1">
        <f>G4*G7*G13</f>
        <v>1.3682787647779824</v>
      </c>
      <c r="H10" s="1">
        <f>H4*H7*H13</f>
        <v>1.36827882442879</v>
      </c>
      <c r="I10" s="1">
        <f t="shared" ref="I10:Q10" si="2">I4*I7*I13</f>
        <v>1.3682820803669438</v>
      </c>
      <c r="J10" s="1">
        <f t="shared" si="2"/>
        <v>1.3682836720337868</v>
      </c>
      <c r="K10" s="1">
        <f t="shared" si="2"/>
        <v>1.3682838441009164</v>
      </c>
      <c r="L10" s="1">
        <f t="shared" si="2"/>
        <v>1.3682829279379569</v>
      </c>
      <c r="M10" s="1">
        <f t="shared" si="2"/>
        <v>1.3682813322262575</v>
      </c>
      <c r="N10" s="1">
        <f t="shared" si="2"/>
        <v>1.3682795116611988</v>
      </c>
      <c r="O10" s="1">
        <f t="shared" si="2"/>
        <v>1.3682779046576024</v>
      </c>
      <c r="P10" s="1">
        <f t="shared" si="2"/>
        <v>1.3682768365625788</v>
      </c>
      <c r="Q10" s="1">
        <f t="shared" si="2"/>
        <v>1.3682764045479037</v>
      </c>
    </row>
    <row r="11" spans="2:17" x14ac:dyDescent="0.3">
      <c r="B11" s="1" t="s">
        <v>2</v>
      </c>
      <c r="C11" s="1">
        <v>101325</v>
      </c>
      <c r="F11" s="1" t="s">
        <v>14</v>
      </c>
      <c r="G11" s="3">
        <f>(G13)*(G10-H10)</f>
        <v>-3.425647863110395E-6</v>
      </c>
      <c r="H11" s="1">
        <f>(H13)*(H10-I10)</f>
        <v>-2.0718358573622008E-4</v>
      </c>
      <c r="I11" s="1">
        <f t="shared" ref="I11:P11" si="3">(I13)*(I10-J10)</f>
        <v>-1.1284818869533896E-4</v>
      </c>
      <c r="J11" s="1">
        <f t="shared" si="3"/>
        <v>-1.367691066160702E-5</v>
      </c>
      <c r="K11" s="1">
        <f t="shared" si="3"/>
        <v>8.2209263479767719E-5</v>
      </c>
      <c r="L11" s="1">
        <f t="shared" si="3"/>
        <v>1.6291445267676622E-4</v>
      </c>
      <c r="M11" s="1">
        <f t="shared" si="3"/>
        <v>2.1337195087845121E-4</v>
      </c>
      <c r="N11" s="1">
        <f t="shared" si="3"/>
        <v>2.1843225152928835E-4</v>
      </c>
      <c r="O11" s="1">
        <f t="shared" si="3"/>
        <v>1.7038584315886643E-4</v>
      </c>
      <c r="P11" s="1">
        <f t="shared" si="3"/>
        <v>8.201605930351778E-5</v>
      </c>
      <c r="Q11" s="1">
        <v>0</v>
      </c>
    </row>
    <row r="13" spans="2:17" x14ac:dyDescent="0.3">
      <c r="F13" s="1" t="s">
        <v>0</v>
      </c>
      <c r="G13" s="2">
        <f>(H4*H5*H7)/(G4*G7)</f>
        <v>57.428356788525484</v>
      </c>
      <c r="H13" s="1">
        <f>((G6-H6)/H7+G5*H5)^0.5</f>
        <v>63.632531071627554</v>
      </c>
      <c r="I13" s="1">
        <f t="shared" ref="I13:Q13" si="4">((H6-I6)/I7+H5*I5)^0.5</f>
        <v>70.899377713464702</v>
      </c>
      <c r="J13" s="1">
        <f t="shared" si="4"/>
        <v>79.485900002959056</v>
      </c>
      <c r="K13" s="1">
        <f t="shared" si="4"/>
        <v>89.732140584388702</v>
      </c>
      <c r="L13" s="1">
        <f t="shared" si="4"/>
        <v>102.09516714935657</v>
      </c>
      <c r="M13" s="1">
        <f t="shared" si="4"/>
        <v>117.20094805615093</v>
      </c>
      <c r="N13" s="1">
        <f t="shared" si="4"/>
        <v>135.9251790204508</v>
      </c>
      <c r="O13" s="1">
        <f t="shared" si="4"/>
        <v>159.5231130227956</v>
      </c>
      <c r="P13" s="1">
        <f t="shared" si="4"/>
        <v>189.84554002953246</v>
      </c>
      <c r="Q13" s="1">
        <f t="shared" si="4"/>
        <v>229.71303090696708</v>
      </c>
    </row>
    <row r="14" spans="2:17" x14ac:dyDescent="0.3">
      <c r="B14" s="1" t="s">
        <v>18</v>
      </c>
      <c r="C14" s="1">
        <v>1000</v>
      </c>
      <c r="F14" s="1" t="s">
        <v>2</v>
      </c>
      <c r="G14" s="1">
        <f>C9-(G7*G13^2)/2</f>
        <v>133045.92542316762</v>
      </c>
      <c r="H14" s="1">
        <f>H6+H11</f>
        <v>132578.10204290523</v>
      </c>
      <c r="I14" s="1">
        <f t="shared" ref="I14:P14" si="5">I6+I11</f>
        <v>131967.57212637586</v>
      </c>
      <c r="J14" s="1">
        <f t="shared" si="5"/>
        <v>131158.80071212846</v>
      </c>
      <c r="K14" s="1">
        <f t="shared" si="5"/>
        <v>130069.29153190393</v>
      </c>
      <c r="L14" s="1">
        <f t="shared" si="5"/>
        <v>128573.57852107105</v>
      </c>
      <c r="M14" s="1">
        <f t="shared" si="5"/>
        <v>126475.64080554908</v>
      </c>
      <c r="N14" s="1">
        <f t="shared" si="5"/>
        <v>123459.70422145055</v>
      </c>
      <c r="O14" s="1">
        <f t="shared" si="5"/>
        <v>118998.87164704832</v>
      </c>
      <c r="P14" s="1">
        <f t="shared" si="5"/>
        <v>112177.32738750818</v>
      </c>
      <c r="Q14" s="1">
        <v>101325</v>
      </c>
    </row>
    <row r="15" spans="2:17" x14ac:dyDescent="0.3">
      <c r="F15" s="1" t="s">
        <v>12</v>
      </c>
      <c r="G15" s="1">
        <v>1.1850000000000001</v>
      </c>
      <c r="H15" s="1">
        <v>1.1850000000000001</v>
      </c>
      <c r="I15" s="1">
        <v>1.1850000000000001</v>
      </c>
      <c r="J15" s="1">
        <v>1.1850000000000001</v>
      </c>
      <c r="K15" s="1">
        <v>1.1850000000000001</v>
      </c>
      <c r="L15" s="1">
        <v>1.1850000000000001</v>
      </c>
      <c r="M15" s="1">
        <v>1.1850000000000001</v>
      </c>
      <c r="N15" s="1">
        <v>1.1850000000000001</v>
      </c>
      <c r="O15" s="1">
        <v>1.1850000000000001</v>
      </c>
      <c r="P15" s="1">
        <v>1.1850000000000001</v>
      </c>
      <c r="Q15" s="1">
        <v>1.1850000000000001</v>
      </c>
    </row>
    <row r="17" spans="6:17" x14ac:dyDescent="0.3">
      <c r="F17" s="1" t="s">
        <v>15</v>
      </c>
      <c r="G17" s="1">
        <f>$C$10-(G13^2)/(2*$C$7)</f>
        <v>286.51821576890177</v>
      </c>
      <c r="H17" s="1">
        <f t="shared" ref="H17:Q17" si="6">$C$10-(H13^2)/(2*$C$7)</f>
        <v>286.14431948895776</v>
      </c>
      <c r="I17" s="1">
        <f t="shared" si="6"/>
        <v>285.65764946228768</v>
      </c>
      <c r="J17" s="1">
        <f t="shared" si="6"/>
        <v>285.0148345782157</v>
      </c>
      <c r="K17" s="1">
        <f t="shared" si="6"/>
        <v>284.15170795805631</v>
      </c>
      <c r="L17" s="1">
        <f t="shared" si="6"/>
        <v>282.97111949658751</v>
      </c>
      <c r="M17" s="1">
        <f t="shared" si="6"/>
        <v>281.32205584166638</v>
      </c>
      <c r="N17" s="1">
        <f t="shared" si="6"/>
        <v>278.96264123270532</v>
      </c>
      <c r="O17" s="1">
        <f t="shared" si="6"/>
        <v>275.49192772377359</v>
      </c>
      <c r="P17" s="1">
        <f t="shared" si="6"/>
        <v>270.21827903768184</v>
      </c>
      <c r="Q17" s="1">
        <f t="shared" si="6"/>
        <v>261.89154292688909</v>
      </c>
    </row>
    <row r="18" spans="6:17" x14ac:dyDescent="0.3">
      <c r="F18" s="1" t="s">
        <v>16</v>
      </c>
      <c r="G18" s="1">
        <f>SQRT($C$5*$C$6*G17)</f>
        <v>339.28128091877772</v>
      </c>
      <c r="H18" s="1">
        <f t="shared" ref="H18:Q18" si="7">SQRT($C$5*$C$6*H17)</f>
        <v>339.05983352992325</v>
      </c>
      <c r="I18" s="1">
        <f t="shared" si="7"/>
        <v>338.77137685183538</v>
      </c>
      <c r="J18" s="1">
        <f t="shared" si="7"/>
        <v>338.38999387099437</v>
      </c>
      <c r="K18" s="1">
        <f t="shared" si="7"/>
        <v>337.87722253889069</v>
      </c>
      <c r="L18" s="1">
        <f t="shared" si="7"/>
        <v>337.17458881986431</v>
      </c>
      <c r="M18" s="1">
        <f t="shared" si="7"/>
        <v>336.19068132920125</v>
      </c>
      <c r="N18" s="1">
        <f t="shared" si="7"/>
        <v>334.77791730005828</v>
      </c>
      <c r="O18" s="1">
        <f t="shared" si="7"/>
        <v>332.68882950265316</v>
      </c>
      <c r="P18" s="1">
        <f t="shared" si="7"/>
        <v>329.48916819950585</v>
      </c>
      <c r="Q18" s="1">
        <f t="shared" si="7"/>
        <v>324.37286538725971</v>
      </c>
    </row>
    <row r="19" spans="6:17" x14ac:dyDescent="0.3">
      <c r="F19" s="1" t="s">
        <v>17</v>
      </c>
      <c r="G19" s="1">
        <f>G13/G18</f>
        <v>0.16926473701410469</v>
      </c>
      <c r="H19" s="1">
        <f t="shared" ref="H19:Q19" si="8">H13/H18</f>
        <v>0.18767345695051713</v>
      </c>
      <c r="I19" s="1">
        <f t="shared" si="8"/>
        <v>0.2092838491029694</v>
      </c>
      <c r="J19" s="1">
        <f t="shared" si="8"/>
        <v>0.23489435693320693</v>
      </c>
      <c r="K19" s="1">
        <f t="shared" si="8"/>
        <v>0.26557617560047353</v>
      </c>
      <c r="L19" s="1">
        <f t="shared" si="8"/>
        <v>0.3027961493382319</v>
      </c>
      <c r="M19" s="1">
        <f t="shared" si="8"/>
        <v>0.34861450529435289</v>
      </c>
      <c r="N19" s="1">
        <f t="shared" si="8"/>
        <v>0.40601596460325173</v>
      </c>
      <c r="O19" s="1">
        <f t="shared" si="8"/>
        <v>0.47949645096672361</v>
      </c>
      <c r="P19" s="1">
        <f t="shared" si="8"/>
        <v>0.57618142977793096</v>
      </c>
      <c r="Q19" s="1">
        <f t="shared" si="8"/>
        <v>0.70817585383635318</v>
      </c>
    </row>
    <row r="23" spans="6:17" x14ac:dyDescent="0.3">
      <c r="L23" s="1"/>
      <c r="M23" s="1">
        <v>0</v>
      </c>
      <c r="N23" s="1">
        <v>2.5000000000000001E-2</v>
      </c>
      <c r="O23" s="1">
        <v>0.05</v>
      </c>
      <c r="P23" s="1">
        <v>7.4999999999999997E-2</v>
      </c>
      <c r="Q23" s="1">
        <v>0.1</v>
      </c>
    </row>
    <row r="24" spans="6:17" x14ac:dyDescent="0.3">
      <c r="L24" s="1" t="s">
        <v>19</v>
      </c>
      <c r="M24" s="1">
        <v>62.6</v>
      </c>
      <c r="N24" s="1">
        <v>78.260000000000005</v>
      </c>
      <c r="O24" s="1">
        <v>106.77</v>
      </c>
      <c r="P24" s="1">
        <v>153.75</v>
      </c>
      <c r="Q24" s="1">
        <v>238.13</v>
      </c>
    </row>
    <row r="25" spans="6:17" x14ac:dyDescent="0.3">
      <c r="L25" s="1" t="s">
        <v>20</v>
      </c>
      <c r="M25" s="1">
        <v>132552</v>
      </c>
      <c r="N25" s="1">
        <v>131334</v>
      </c>
      <c r="O25" s="1">
        <v>128213</v>
      </c>
      <c r="P25" s="1">
        <v>120941</v>
      </c>
      <c r="Q25" s="1">
        <v>101336</v>
      </c>
    </row>
    <row r="26" spans="6:17" x14ac:dyDescent="0.3">
      <c r="L26" s="1" t="s">
        <v>21</v>
      </c>
      <c r="M26" s="1">
        <v>1.375</v>
      </c>
      <c r="N26" s="1"/>
      <c r="O26" s="1"/>
      <c r="P26" s="1"/>
      <c r="Q26" s="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30"/>
  <sheetViews>
    <sheetView topLeftCell="A34" zoomScale="90" zoomScaleNormal="90" workbookViewId="0">
      <selection activeCell="G47" sqref="G47"/>
    </sheetView>
  </sheetViews>
  <sheetFormatPr defaultRowHeight="14.4" x14ac:dyDescent="0.3"/>
  <cols>
    <col min="7" max="7" width="10.109375" customWidth="1"/>
  </cols>
  <sheetData>
    <row r="1" spans="2:17" x14ac:dyDescent="0.3">
      <c r="F1" s="1" t="s">
        <v>10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2:17" x14ac:dyDescent="0.3">
      <c r="B2" t="s">
        <v>4</v>
      </c>
      <c r="C2">
        <v>0.1</v>
      </c>
      <c r="F2" s="1" t="s">
        <v>1</v>
      </c>
      <c r="G2" s="1">
        <v>0</v>
      </c>
      <c r="H2" s="1">
        <v>0.01</v>
      </c>
      <c r="I2" s="1">
        <v>0.02</v>
      </c>
      <c r="J2" s="1">
        <v>0.03</v>
      </c>
      <c r="K2" s="1">
        <v>0.04</v>
      </c>
      <c r="L2" s="1">
        <v>0.05</v>
      </c>
      <c r="M2" s="1">
        <v>0.06</v>
      </c>
      <c r="N2" s="1">
        <v>7.0000000000000007E-2</v>
      </c>
      <c r="O2" s="1">
        <v>0.08</v>
      </c>
      <c r="P2" s="1">
        <v>0.09</v>
      </c>
      <c r="Q2" s="1">
        <v>0.1</v>
      </c>
    </row>
    <row r="3" spans="2:17" x14ac:dyDescent="0.3">
      <c r="B3" t="s">
        <v>5</v>
      </c>
      <c r="C3">
        <f>C2/10</f>
        <v>0.01</v>
      </c>
      <c r="F3" s="1" t="s">
        <v>7</v>
      </c>
      <c r="G3" s="1">
        <v>0.08</v>
      </c>
      <c r="H3" s="1">
        <f>G3+($Q$3-$G$3)/10</f>
        <v>7.5999999999999998E-2</v>
      </c>
      <c r="I3" s="1">
        <f t="shared" ref="I3:P3" si="0">H3+($Q$3-$G$3)/10</f>
        <v>7.1999999999999995E-2</v>
      </c>
      <c r="J3" s="1">
        <f t="shared" si="0"/>
        <v>6.7999999999999991E-2</v>
      </c>
      <c r="K3" s="1">
        <f t="shared" si="0"/>
        <v>6.3999999999999987E-2</v>
      </c>
      <c r="L3" s="1">
        <f t="shared" si="0"/>
        <v>5.9999999999999984E-2</v>
      </c>
      <c r="M3" s="1">
        <f t="shared" si="0"/>
        <v>5.599999999999998E-2</v>
      </c>
      <c r="N3" s="1">
        <f t="shared" si="0"/>
        <v>5.1999999999999977E-2</v>
      </c>
      <c r="O3" s="1">
        <f t="shared" si="0"/>
        <v>4.7999999999999973E-2</v>
      </c>
      <c r="P3" s="1">
        <f t="shared" si="0"/>
        <v>4.399999999999997E-2</v>
      </c>
      <c r="Q3" s="1">
        <v>0.04</v>
      </c>
    </row>
    <row r="4" spans="2:17" x14ac:dyDescent="0.3">
      <c r="F4" s="1" t="s">
        <v>11</v>
      </c>
      <c r="G4" s="1">
        <f>(PI()*(2*G3)^2)/4</f>
        <v>2.0106192982974676E-2</v>
      </c>
      <c r="H4" s="1">
        <f t="shared" ref="H4:Q4" si="1">(PI()*(2*H3)^2)/4</f>
        <v>1.8145839167134643E-2</v>
      </c>
      <c r="I4" s="1">
        <f t="shared" si="1"/>
        <v>1.6286016316209486E-2</v>
      </c>
      <c r="J4" s="1">
        <f t="shared" si="1"/>
        <v>1.4526724430199199E-2</v>
      </c>
      <c r="K4" s="1">
        <f t="shared" si="1"/>
        <v>1.2867963509103787E-2</v>
      </c>
      <c r="L4" s="1">
        <f t="shared" si="1"/>
        <v>1.1309733552923249E-2</v>
      </c>
      <c r="M4" s="1">
        <f t="shared" si="1"/>
        <v>9.8520345616575841E-3</v>
      </c>
      <c r="N4" s="1">
        <f t="shared" si="1"/>
        <v>8.4948665353067939E-3</v>
      </c>
      <c r="O4" s="1">
        <f t="shared" si="1"/>
        <v>7.2382294738708754E-3</v>
      </c>
      <c r="P4" s="1">
        <f t="shared" si="1"/>
        <v>6.0821233773498311E-3</v>
      </c>
      <c r="Q4" s="1">
        <f t="shared" si="1"/>
        <v>5.0265482457436689E-3</v>
      </c>
    </row>
    <row r="5" spans="2:17" x14ac:dyDescent="0.3">
      <c r="B5" t="s">
        <v>6</v>
      </c>
      <c r="C5">
        <v>1.4</v>
      </c>
      <c r="F5" s="1" t="s">
        <v>0</v>
      </c>
      <c r="G5" s="1">
        <v>41.952134974927866</v>
      </c>
      <c r="H5" s="1">
        <v>46.572365820758591</v>
      </c>
      <c r="I5" s="1">
        <v>51.99881482550407</v>
      </c>
      <c r="J5" s="1">
        <v>58.481548175462336</v>
      </c>
      <c r="K5" s="1">
        <v>66.327308369234387</v>
      </c>
      <c r="L5" s="1">
        <v>75.974083898539305</v>
      </c>
      <c r="M5" s="1">
        <v>88.076208352825077</v>
      </c>
      <c r="N5" s="1">
        <v>103.67611774994239</v>
      </c>
      <c r="O5" s="1">
        <v>124.60715436719285</v>
      </c>
      <c r="P5" s="1">
        <v>154.70201471594376</v>
      </c>
      <c r="Q5" s="1">
        <v>205.86733253631789</v>
      </c>
    </row>
    <row r="6" spans="2:17" x14ac:dyDescent="0.3">
      <c r="B6" t="s">
        <v>7</v>
      </c>
      <c r="C6">
        <v>286.97199999999998</v>
      </c>
      <c r="F6" s="1" t="s">
        <v>2</v>
      </c>
      <c r="G6" s="1">
        <v>133574.22825503966</v>
      </c>
      <c r="H6" s="1">
        <v>133226.31357547204</v>
      </c>
      <c r="I6" s="1">
        <v>132771.17449122321</v>
      </c>
      <c r="J6" s="1">
        <v>132161.66616444036</v>
      </c>
      <c r="K6" s="1">
        <v>131328.86819216813</v>
      </c>
      <c r="L6" s="1">
        <v>130163.57592238429</v>
      </c>
      <c r="M6" s="1">
        <v>128484.85993121493</v>
      </c>
      <c r="N6" s="1">
        <v>125974.33447040808</v>
      </c>
      <c r="O6" s="1">
        <v>122019.68731102513</v>
      </c>
      <c r="P6" s="1">
        <v>115251.05222710465</v>
      </c>
      <c r="Q6" s="1">
        <v>101325</v>
      </c>
    </row>
    <row r="7" spans="2:17" x14ac:dyDescent="0.3">
      <c r="B7" t="s">
        <v>3</v>
      </c>
      <c r="C7">
        <v>1004.4</v>
      </c>
      <c r="F7" s="1" t="s">
        <v>12</v>
      </c>
      <c r="G7" s="1">
        <v>1.6202122649570925</v>
      </c>
      <c r="H7" s="1">
        <v>1.6171382824397458</v>
      </c>
      <c r="I7" s="1">
        <v>1.613109876697655</v>
      </c>
      <c r="J7" s="1">
        <v>1.6077031620263356</v>
      </c>
      <c r="K7" s="1">
        <v>1.6002956758902236</v>
      </c>
      <c r="L7" s="1">
        <v>1.5898954081272527</v>
      </c>
      <c r="M7" s="1">
        <v>1.5748463751867776</v>
      </c>
      <c r="N7" s="1">
        <v>1.5522049117211103</v>
      </c>
      <c r="O7" s="1">
        <v>1.5162299738827569</v>
      </c>
      <c r="P7" s="1">
        <v>1.453815433048117</v>
      </c>
      <c r="Q7" s="1">
        <v>1.3221013385964215</v>
      </c>
    </row>
    <row r="9" spans="2:17" x14ac:dyDescent="0.3">
      <c r="B9" t="s">
        <v>8</v>
      </c>
      <c r="C9">
        <v>135000</v>
      </c>
    </row>
    <row r="10" spans="2:17" x14ac:dyDescent="0.3">
      <c r="B10" t="s">
        <v>9</v>
      </c>
      <c r="C10">
        <v>288.16000000000003</v>
      </c>
      <c r="F10" s="1" t="s">
        <v>13</v>
      </c>
      <c r="G10" s="1">
        <f>G4*G7*G13</f>
        <v>1.3666349266745654</v>
      </c>
      <c r="H10" s="1">
        <f>H4*H7*H13</f>
        <v>1.3666245661578389</v>
      </c>
      <c r="I10" s="1">
        <f t="shared" ref="I10:Q10" si="2">I4*I7*I13</f>
        <v>1.3660630623338998</v>
      </c>
      <c r="J10" s="1">
        <f t="shared" si="2"/>
        <v>1.3658161555435284</v>
      </c>
      <c r="K10" s="1">
        <f t="shared" si="2"/>
        <v>1.365850409193168</v>
      </c>
      <c r="L10" s="1">
        <f t="shared" si="2"/>
        <v>1.3661160242791908</v>
      </c>
      <c r="M10" s="1">
        <f t="shared" si="2"/>
        <v>1.366545272772252</v>
      </c>
      <c r="N10" s="1">
        <f t="shared" si="2"/>
        <v>1.367053311205592</v>
      </c>
      <c r="O10" s="1">
        <f t="shared" si="2"/>
        <v>1.3675435168287973</v>
      </c>
      <c r="P10" s="1">
        <f t="shared" si="2"/>
        <v>1.367920357753643</v>
      </c>
      <c r="Q10" s="1">
        <f t="shared" si="2"/>
        <v>1.368113277208034</v>
      </c>
    </row>
    <row r="11" spans="2:17" x14ac:dyDescent="0.3">
      <c r="B11" t="s">
        <v>2</v>
      </c>
      <c r="C11">
        <v>101325</v>
      </c>
      <c r="F11" s="1" t="s">
        <v>14</v>
      </c>
      <c r="G11" s="3">
        <f>(G13)*(G10-H10)</f>
        <v>4.3464247970045303E-4</v>
      </c>
      <c r="H11" s="1">
        <f>(H13)*(H10-I10)</f>
        <v>2.6150363249740051E-2</v>
      </c>
      <c r="I11" s="1">
        <f t="shared" ref="I11:P11" si="3">(I13)*(I10-J10)</f>
        <v>1.28388157548302E-2</v>
      </c>
      <c r="J11" s="1">
        <f t="shared" si="3"/>
        <v>-2.0032056326617646E-3</v>
      </c>
      <c r="K11" s="1">
        <f t="shared" si="3"/>
        <v>-1.7617562567046084E-2</v>
      </c>
      <c r="L11" s="1">
        <f t="shared" si="3"/>
        <v>-3.2611850011216012E-2</v>
      </c>
      <c r="M11" s="1">
        <f t="shared" si="3"/>
        <v>-4.4746232037662689E-2</v>
      </c>
      <c r="N11" s="1">
        <f t="shared" si="3"/>
        <v>-5.0822745992003864E-2</v>
      </c>
      <c r="O11" s="1">
        <f t="shared" si="3"/>
        <v>-4.6957156547575256E-2</v>
      </c>
      <c r="P11" s="1">
        <f t="shared" si="3"/>
        <v>-2.9845051826686259E-2</v>
      </c>
      <c r="Q11" s="1">
        <v>0</v>
      </c>
    </row>
    <row r="13" spans="2:17" x14ac:dyDescent="0.3">
      <c r="F13" s="1" t="s">
        <v>0</v>
      </c>
      <c r="G13" s="2">
        <f>(H4*H5*H7)/(G4*G7)</f>
        <v>41.951814873012793</v>
      </c>
      <c r="H13" s="1">
        <f>((G6-H6)/H7+G5*H5)^0.5</f>
        <v>46.572012753699006</v>
      </c>
      <c r="I13" s="1">
        <f t="shared" ref="I13:Q13" si="4">((H6-I6)/I7+H5*I5)^0.5</f>
        <v>51.998633717268561</v>
      </c>
      <c r="J13" s="1">
        <f t="shared" si="4"/>
        <v>58.481523975934635</v>
      </c>
      <c r="K13" s="1">
        <f t="shared" si="4"/>
        <v>66.327416980892835</v>
      </c>
      <c r="L13" s="1">
        <f t="shared" si="4"/>
        <v>75.974291205170189</v>
      </c>
      <c r="M13" s="1">
        <f t="shared" si="4"/>
        <v>88.076470403007917</v>
      </c>
      <c r="N13" s="1">
        <f t="shared" si="4"/>
        <v>103.67638310572022</v>
      </c>
      <c r="O13" s="1">
        <f t="shared" si="4"/>
        <v>124.60736998457237</v>
      </c>
      <c r="P13" s="1">
        <f t="shared" si="4"/>
        <v>154.7021368108982</v>
      </c>
      <c r="Q13" s="1">
        <f t="shared" si="4"/>
        <v>205.86734203036951</v>
      </c>
    </row>
    <row r="14" spans="2:17" x14ac:dyDescent="0.3">
      <c r="B14" t="s">
        <v>18</v>
      </c>
      <c r="C14">
        <v>1000</v>
      </c>
      <c r="F14" s="1" t="s">
        <v>2</v>
      </c>
      <c r="G14" s="1">
        <f>C9-(G7*G13^2)/2</f>
        <v>133574.24984701499</v>
      </c>
      <c r="H14" s="1">
        <f>H6+H11</f>
        <v>133226.33972583528</v>
      </c>
      <c r="I14" s="1">
        <f t="shared" ref="I14:P14" si="5">I6+I11</f>
        <v>132771.18733003896</v>
      </c>
      <c r="J14" s="1">
        <f t="shared" si="5"/>
        <v>132161.66416123474</v>
      </c>
      <c r="K14" s="1">
        <f t="shared" si="5"/>
        <v>131328.85057460557</v>
      </c>
      <c r="L14" s="1">
        <f t="shared" si="5"/>
        <v>130163.54331053428</v>
      </c>
      <c r="M14" s="1">
        <f t="shared" si="5"/>
        <v>128484.81518498289</v>
      </c>
      <c r="N14" s="1">
        <f t="shared" si="5"/>
        <v>125974.28364766209</v>
      </c>
      <c r="O14" s="1">
        <f t="shared" si="5"/>
        <v>122019.64035386858</v>
      </c>
      <c r="P14" s="1">
        <f t="shared" si="5"/>
        <v>115251.02238205282</v>
      </c>
      <c r="Q14" s="1">
        <v>101325</v>
      </c>
    </row>
    <row r="15" spans="2:17" x14ac:dyDescent="0.3">
      <c r="F15" s="1" t="s">
        <v>12</v>
      </c>
      <c r="G15" s="1">
        <f>G14/($C$6*G17)</f>
        <v>1.620212451456726</v>
      </c>
      <c r="H15" s="1">
        <f t="shared" ref="H15:Q15" si="6">H14/($C$6*H17)</f>
        <v>1.6171385076410396</v>
      </c>
      <c r="I15" s="1">
        <f t="shared" si="6"/>
        <v>1.6131099799498239</v>
      </c>
      <c r="J15" s="1">
        <f t="shared" si="6"/>
        <v>1.6077031297500344</v>
      </c>
      <c r="K15" s="1">
        <f t="shared" si="6"/>
        <v>1.6002955013498086</v>
      </c>
      <c r="L15" s="1">
        <f t="shared" si="6"/>
        <v>1.5898950971762773</v>
      </c>
      <c r="M15" s="1">
        <f t="shared" si="6"/>
        <v>1.5748459540215456</v>
      </c>
      <c r="N15" s="1">
        <f t="shared" si="6"/>
        <v>1.5522044358375147</v>
      </c>
      <c r="O15" s="1">
        <f t="shared" si="6"/>
        <v>1.5162295350185537</v>
      </c>
      <c r="P15" s="1">
        <f t="shared" si="6"/>
        <v>1.4538151555418648</v>
      </c>
      <c r="Q15" s="1">
        <f t="shared" si="6"/>
        <v>1.3221013482299355</v>
      </c>
    </row>
    <row r="17" spans="6:17" x14ac:dyDescent="0.3">
      <c r="F17" s="1" t="s">
        <v>15</v>
      </c>
      <c r="G17" s="1">
        <f>$C$10-(G13^2)/(2*$C$7)</f>
        <v>287.28387755319619</v>
      </c>
      <c r="H17" s="1">
        <f t="shared" ref="H17:Q17" si="7">$C$10-(H13^2)/(2*$C$7)</f>
        <v>287.08027460576926</v>
      </c>
      <c r="I17" s="1">
        <f t="shared" si="7"/>
        <v>286.81399347448098</v>
      </c>
      <c r="J17" s="1">
        <f t="shared" si="7"/>
        <v>286.4574469103207</v>
      </c>
      <c r="K17" s="1">
        <f t="shared" si="7"/>
        <v>285.96997299713399</v>
      </c>
      <c r="L17" s="1">
        <f t="shared" si="7"/>
        <v>285.28659651327763</v>
      </c>
      <c r="M17" s="1">
        <f t="shared" si="7"/>
        <v>284.29825933957989</v>
      </c>
      <c r="N17" s="1">
        <f t="shared" si="7"/>
        <v>282.80914754386498</v>
      </c>
      <c r="O17" s="1">
        <f t="shared" si="7"/>
        <v>280.43051142250494</v>
      </c>
      <c r="P17" s="1">
        <f t="shared" si="7"/>
        <v>276.24604583141286</v>
      </c>
      <c r="Q17" s="1">
        <f t="shared" si="7"/>
        <v>267.06214928581784</v>
      </c>
    </row>
    <row r="18" spans="6:17" x14ac:dyDescent="0.3">
      <c r="F18" s="1" t="s">
        <v>16</v>
      </c>
      <c r="G18" s="1">
        <f>SQRT($C$5*$C$6*G17)</f>
        <v>339.73430864849979</v>
      </c>
      <c r="H18" s="1">
        <f t="shared" ref="H18:Q18" si="8">SQRT($C$5*$C$6*H17)</f>
        <v>339.61389958279614</v>
      </c>
      <c r="I18" s="1">
        <f t="shared" si="8"/>
        <v>339.45635871125205</v>
      </c>
      <c r="J18" s="1">
        <f t="shared" si="8"/>
        <v>339.24529921083354</v>
      </c>
      <c r="K18" s="1">
        <f t="shared" si="8"/>
        <v>338.95652394858394</v>
      </c>
      <c r="L18" s="1">
        <f t="shared" si="8"/>
        <v>338.55128303471486</v>
      </c>
      <c r="M18" s="1">
        <f t="shared" si="8"/>
        <v>337.96434147832383</v>
      </c>
      <c r="N18" s="1">
        <f t="shared" si="8"/>
        <v>337.0780760662746</v>
      </c>
      <c r="O18" s="1">
        <f t="shared" si="8"/>
        <v>335.65754365649929</v>
      </c>
      <c r="P18" s="1">
        <f t="shared" si="8"/>
        <v>333.14386137232827</v>
      </c>
      <c r="Q18" s="1">
        <f t="shared" si="8"/>
        <v>327.55931179984731</v>
      </c>
    </row>
    <row r="19" spans="6:17" x14ac:dyDescent="0.3">
      <c r="F19" s="1" t="s">
        <v>17</v>
      </c>
      <c r="G19" s="1">
        <f>G13/G18</f>
        <v>0.12348418692213246</v>
      </c>
      <c r="H19" s="1">
        <f t="shared" ref="H19:Q19" si="9">H13/H18</f>
        <v>0.1371322340190172</v>
      </c>
      <c r="I19" s="1">
        <f t="shared" si="9"/>
        <v>0.1531820877201466</v>
      </c>
      <c r="J19" s="1">
        <f t="shared" si="9"/>
        <v>0.17238713141192163</v>
      </c>
      <c r="K19" s="1">
        <f t="shared" si="9"/>
        <v>0.19568119299852743</v>
      </c>
      <c r="L19" s="1">
        <f t="shared" si="9"/>
        <v>0.22440999344072735</v>
      </c>
      <c r="M19" s="1">
        <f t="shared" si="9"/>
        <v>0.26060876723782089</v>
      </c>
      <c r="N19" s="1">
        <f t="shared" si="9"/>
        <v>0.30757379511486199</v>
      </c>
      <c r="O19" s="1">
        <f t="shared" si="9"/>
        <v>0.37123363481468896</v>
      </c>
      <c r="P19" s="1">
        <f t="shared" si="9"/>
        <v>0.46437036592428754</v>
      </c>
      <c r="Q19" s="1">
        <f t="shared" si="9"/>
        <v>0.62848874879845651</v>
      </c>
    </row>
    <row r="20" spans="6:17" x14ac:dyDescent="0.3">
      <c r="F20" s="4" t="s">
        <v>23</v>
      </c>
      <c r="G20" s="1">
        <f>G17/$C$10</f>
        <v>0.9969595972834403</v>
      </c>
      <c r="H20" s="1">
        <f t="shared" ref="H20:Q20" si="10">H17/$C$10</f>
        <v>0.99625303513939911</v>
      </c>
      <c r="I20" s="1">
        <f t="shared" si="10"/>
        <v>0.99532896125236314</v>
      </c>
      <c r="J20" s="1">
        <f t="shared" si="10"/>
        <v>0.99409163974986348</v>
      </c>
      <c r="K20" s="1">
        <f t="shared" si="10"/>
        <v>0.99239996181681689</v>
      </c>
      <c r="L20" s="1">
        <f t="shared" si="10"/>
        <v>0.99002844431315107</v>
      </c>
      <c r="M20" s="1">
        <f t="shared" si="10"/>
        <v>0.98659862347161253</v>
      </c>
      <c r="N20" s="1">
        <f t="shared" si="10"/>
        <v>0.98143096732324042</v>
      </c>
      <c r="O20" s="1">
        <f t="shared" si="10"/>
        <v>0.97317639999481165</v>
      </c>
      <c r="P20" s="1">
        <f t="shared" si="10"/>
        <v>0.9586550729851917</v>
      </c>
      <c r="Q20" s="1">
        <f t="shared" si="10"/>
        <v>0.92678424932613068</v>
      </c>
    </row>
    <row r="21" spans="6:17" x14ac:dyDescent="0.3">
      <c r="F21" s="4" t="s">
        <v>24</v>
      </c>
      <c r="G21" s="1">
        <f>SQRT((1-G20)*($C$5+1)/($C$5-1))</f>
        <v>0.13506448940916407</v>
      </c>
      <c r="H21" s="1">
        <f t="shared" ref="H21:Q21" si="11">SQRT((1-H20)*($C$5+1)/($C$5-1))</f>
        <v>0.14993928492428304</v>
      </c>
      <c r="I21" s="1">
        <f t="shared" si="11"/>
        <v>0.16741037150015869</v>
      </c>
      <c r="J21" s="1">
        <f t="shared" si="11"/>
        <v>0.18828213271794844</v>
      </c>
      <c r="K21" s="1">
        <f t="shared" si="11"/>
        <v>0.21354210146736563</v>
      </c>
      <c r="L21" s="1">
        <f t="shared" si="11"/>
        <v>0.24460035593002233</v>
      </c>
      <c r="M21" s="1">
        <f t="shared" si="11"/>
        <v>0.28356350112510037</v>
      </c>
      <c r="N21" s="1">
        <f t="shared" si="11"/>
        <v>0.33378765115048442</v>
      </c>
      <c r="O21" s="1">
        <f t="shared" si="11"/>
        <v>0.40117527345429721</v>
      </c>
      <c r="P21" s="1">
        <f t="shared" si="11"/>
        <v>0.49806582104060282</v>
      </c>
      <c r="Q21" s="1">
        <f t="shared" si="11"/>
        <v>0.66279295714666131</v>
      </c>
    </row>
    <row r="22" spans="6:17" x14ac:dyDescent="0.3">
      <c r="F22" s="4" t="s">
        <v>22</v>
      </c>
      <c r="G22" s="1">
        <f>(1-(($C$5-1)/($C$5+1)*G21^2))^($C$5/($C$5-1))</f>
        <v>0.98939897174731695</v>
      </c>
      <c r="H22" s="1">
        <f t="shared" ref="H22:Q22" si="12">(1-(($C$5-1)/($C$5+1)*H21^2))^($C$5/($C$5-1))</f>
        <v>0.98694693185253324</v>
      </c>
      <c r="I22" s="1">
        <f t="shared" si="12"/>
        <v>0.98374659796130448</v>
      </c>
      <c r="J22" s="1">
        <f t="shared" si="12"/>
        <v>0.97947301393254327</v>
      </c>
      <c r="K22" s="1">
        <f t="shared" si="12"/>
        <v>0.97365160953653374</v>
      </c>
      <c r="L22" s="1">
        <f t="shared" si="12"/>
        <v>0.96553240357798242</v>
      </c>
      <c r="M22" s="1">
        <f t="shared" si="12"/>
        <v>0.95387566241376909</v>
      </c>
      <c r="N22" s="1">
        <f t="shared" si="12"/>
        <v>0.93650295140807671</v>
      </c>
      <c r="O22" s="1">
        <f t="shared" si="12"/>
        <v>0.9092231604019676</v>
      </c>
      <c r="P22" s="1">
        <f t="shared" si="12"/>
        <v>0.86261759399451421</v>
      </c>
      <c r="Q22" s="1">
        <f t="shared" si="12"/>
        <v>0.76634663584682339</v>
      </c>
    </row>
    <row r="23" spans="6:17" x14ac:dyDescent="0.3">
      <c r="F23" s="4" t="s">
        <v>8</v>
      </c>
      <c r="G23" s="1">
        <f>G14/G22</f>
        <v>135005.44639855213</v>
      </c>
      <c r="H23" s="1">
        <f t="shared" ref="H23:Q23" si="13">H14/H22</f>
        <v>134988.35188206611</v>
      </c>
      <c r="I23" s="1">
        <f t="shared" si="13"/>
        <v>134964.82489005922</v>
      </c>
      <c r="J23" s="1">
        <f t="shared" si="13"/>
        <v>134931.39911084552</v>
      </c>
      <c r="K23" s="1">
        <f t="shared" si="13"/>
        <v>134882.79512742674</v>
      </c>
      <c r="L23" s="1">
        <f t="shared" si="13"/>
        <v>134810.12426738453</v>
      </c>
      <c r="M23" s="1">
        <f t="shared" si="13"/>
        <v>134697.65531060292</v>
      </c>
      <c r="N23" s="1">
        <f t="shared" si="13"/>
        <v>134515.62908398075</v>
      </c>
      <c r="O23" s="1">
        <f t="shared" si="13"/>
        <v>134202.08114795899</v>
      </c>
      <c r="P23" s="1">
        <f t="shared" si="13"/>
        <v>133606.15779740954</v>
      </c>
      <c r="Q23" s="1">
        <f t="shared" si="13"/>
        <v>132218.2355351955</v>
      </c>
    </row>
    <row r="27" spans="6:17" x14ac:dyDescent="0.3">
      <c r="L27" s="1"/>
      <c r="M27" s="1">
        <v>0</v>
      </c>
      <c r="N27" s="1">
        <v>2.5000000000000001E-2</v>
      </c>
      <c r="O27" s="1">
        <v>0.05</v>
      </c>
      <c r="P27" s="1">
        <v>7.4999999999999997E-2</v>
      </c>
      <c r="Q27" s="1">
        <v>0.1</v>
      </c>
    </row>
    <row r="28" spans="6:17" x14ac:dyDescent="0.3">
      <c r="L28" s="1" t="s">
        <v>19</v>
      </c>
      <c r="M28" s="1">
        <v>46.31</v>
      </c>
      <c r="N28" s="1">
        <v>58.19</v>
      </c>
      <c r="O28" s="1">
        <v>80.48</v>
      </c>
      <c r="P28" s="1">
        <v>120.03</v>
      </c>
      <c r="Q28" s="1">
        <v>213.26</v>
      </c>
    </row>
    <row r="29" spans="6:17" x14ac:dyDescent="0.3">
      <c r="L29" s="1" t="s">
        <v>20</v>
      </c>
      <c r="M29" s="1">
        <v>133165</v>
      </c>
      <c r="N29" s="1">
        <v>132230</v>
      </c>
      <c r="O29" s="1">
        <v>129765</v>
      </c>
      <c r="P29" s="1">
        <v>123565</v>
      </c>
      <c r="Q29" s="1">
        <v>101336</v>
      </c>
    </row>
    <row r="30" spans="6:17" x14ac:dyDescent="0.3">
      <c r="L30" s="1" t="s">
        <v>21</v>
      </c>
      <c r="M30" s="1">
        <v>1.387</v>
      </c>
      <c r="N30" s="1"/>
      <c r="O30" s="1"/>
      <c r="P30" s="1"/>
      <c r="Q30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ro_const</vt:lpstr>
      <vt:lpstr>ro_var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2021-04-29T18:00:01Z</dcterms:modified>
</cp:coreProperties>
</file>